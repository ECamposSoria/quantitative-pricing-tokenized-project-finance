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4"/>
    <sheet state="visible" name="CFADS" sheetId="2" r:id="rId5"/>
    <sheet state="visible" name="Debt Service" sheetId="3" r:id="rId6"/>
    <sheet state="visible" name="PLCR" sheetId="4" r:id="rId7"/>
    <sheet state="visible" name="Sculpted_Waterfall" sheetId="5" r:id="rId8"/>
    <sheet state="visible" name="Params (waterfall only)" sheetId="6" r:id="rId9"/>
    <sheet state="visible" name="IRR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12 meses del servicio senior anual).
	-Christian Prete</t>
      </text>
    </comment>
  </commentList>
</comments>
</file>

<file path=xl/sharedStrings.xml><?xml version="1.0" encoding="utf-8"?>
<sst xmlns="http://schemas.openxmlformats.org/spreadsheetml/2006/main" count="520" uniqueCount="467">
  <si>
    <t>Buyer Persona del Proyecto (nivel Project Finance Tokenizado)</t>
  </si>
  <si>
    <t>Elemento</t>
  </si>
  <si>
    <t>Descripción</t>
  </si>
  <si>
    <t>Rol</t>
  </si>
  <si>
    <t>Sponsor o SPV de constelación satelital IoT</t>
  </si>
  <si>
    <t>Objetivo</t>
  </si>
  <si>
    <t>Lanzamiento de 80 satélites IoT + estaciones terrenas (estimado realista 2,3 MUSD/unidad)</t>
  </si>
  <si>
    <t>Horizonte del proyecto</t>
  </si>
  <si>
    <t>12 años (3 de gracia + 9 de repago)</t>
  </si>
  <si>
    <t>Necesidad de financiamiento</t>
  </si>
  <si>
    <t>USD 90 M (80 % deuda, 20 % equity).</t>
  </si>
  <si>
    <t>Deuda (80%)</t>
  </si>
  <si>
    <t>Equity (20%)</t>
  </si>
  <si>
    <t>Tipo de deuda</t>
  </si>
  <si>
    <t>Project Finance tokenizado con tres tramos: senior, mezzanine y subordinado.</t>
  </si>
  <si>
    <t>Estructura típica para infraestructura digital emergente</t>
  </si>
  <si>
    <t>Tipo de inversores</t>
  </si>
  <si>
    <t>Distribución equilibrada por riesgo y prelación</t>
  </si>
  <si>
    <t>1️⃣ Senior token holders</t>
  </si>
  <si>
    <t>Fondos institucionales conservadores (infra funds, aseguradoras). Buscan bajo riesgo, tasa base + 100 bps.</t>
  </si>
  <si>
    <t>2️⃣ Mezzanine token holders</t>
  </si>
  <si>
    <t>Fondos de deuda privada o family offices. Aceptan riesgo medio, tasa base + 350 bps.</t>
  </si>
  <si>
    <t>3️⃣ Subordinated token holders</t>
  </si>
  <si>
    <t>Inversores alternativos o cripto institucionales (DeFi RWA funds). Aceptan alta volatilidad, tasa base + 600 bps.</t>
  </si>
  <si>
    <t>Flujos esperados</t>
  </si>
  <si>
    <t>ARPU bajo pero crecimiento exponencial por adopción IoT (lag comercial).</t>
  </si>
  <si>
    <t>Riesgos clave</t>
  </si>
  <si>
    <t>Delay en lanzamiento, fallas satelitales, adopción lenta, inflación de costos de lanzamiento.</t>
  </si>
  <si>
    <t>Mitigadores</t>
  </si>
  <si>
    <t>DSRA (12 meses), MRA (50 % del RCAPEX futuro), seguros de lanzamiento, covenant de dividend lock-up DSCR&lt;1.25.</t>
  </si>
  <si>
    <t>Tasa base (SOFR)</t>
  </si>
  <si>
    <t>5.0 %</t>
  </si>
  <si>
    <t>Coherente con entorno USD actual</t>
  </si>
  <si>
    <t>Spreads por tramo</t>
  </si>
  <si>
    <t>Tipo tasa</t>
  </si>
  <si>
    <t>Spread</t>
  </si>
  <si>
    <t xml:space="preserve">Senior +1.0 % → 6.0 %;  </t>
  </si>
  <si>
    <t>Mezz +3.5 % → 8.5 %;</t>
  </si>
  <si>
    <t>Sub +6 % → 11.0 %</t>
  </si>
  <si>
    <t>Amortización</t>
  </si>
  <si>
    <t>“Sculpted” para mantener DSCR ≈ 1.45 en senior</t>
  </si>
  <si>
    <t>“Sculpted” (año 5–12)</t>
  </si>
  <si>
    <t>Sculpted</t>
  </si>
  <si>
    <t>Grace period (anos, solo intereses)</t>
  </si>
  <si>
    <t>Permite alcanzar flujo positivo</t>
  </si>
  <si>
    <t>Hasta estabilizar ingresos (fase de commissioning y ramp-up)</t>
  </si>
  <si>
    <t>Vida útil total del proyecto (anos)</t>
  </si>
  <si>
    <t>Incluye reposición año 10–15</t>
  </si>
  <si>
    <t>WACD</t>
  </si>
  <si>
    <t>WACD 6–8 %</t>
  </si>
  <si>
    <t>Normal digital infra</t>
  </si>
  <si>
    <t>PLCR</t>
  </si>
  <si>
    <t>LLCR</t>
  </si>
  <si>
    <t>1.25 – 1.40</t>
  </si>
  <si>
    <t>IRR</t>
  </si>
  <si>
    <t>Senior</t>
  </si>
  <si>
    <t>Mezz</t>
  </si>
  <si>
    <t>Sub</t>
  </si>
  <si>
    <t>Línea Temporal Financiera (“Cash Flow Timeline”)</t>
  </si>
  <si>
    <t>Fase</t>
  </si>
  <si>
    <t>Año</t>
  </si>
  <si>
    <t>Evento</t>
  </si>
  <si>
    <t>Desembolso / Flujo</t>
  </si>
  <si>
    <t>Observaciones</t>
  </si>
  <si>
    <t>I. Ingeniería y Manufactura</t>
  </si>
  <si>
    <t>0–2</t>
  </si>
  <si>
    <t>Producción 40 satélites</t>
  </si>
  <si>
    <t>-USD 90 M</t>
  </si>
  <si>
    <t>Deuda + Equity (Drawdwon 1)</t>
  </si>
  <si>
    <t>II. Lanzamiento y Puesta en órbita</t>
  </si>
  <si>
    <t>2–3</t>
  </si>
  <si>
    <t>3 lanzamientos (agrupados)</t>
  </si>
  <si>
    <t>-USD 60 M</t>
  </si>
  <si>
    <t>Deuda (Drawdown #2), riesgo técnico alto.</t>
  </si>
  <si>
    <t>III. Comisión y Operación Inicial</t>
  </si>
  <si>
    <t>3–4</t>
  </si>
  <si>
    <t>Validación + primeros contratos IoT</t>
  </si>
  <si>
    <t>-USD 20 M</t>
  </si>
  <si>
    <t>CFADS ≈ 0 → sólo intereses (grace period).</t>
  </si>
  <si>
    <t xml:space="preserve">Incluido en CAPEX total (IDC </t>
  </si>
  <si>
    <t>IV. Ramp-up comercial</t>
  </si>
  <si>
    <t>4–6</t>
  </si>
  <si>
    <t>Adopción de mercado + Rampa Comercial</t>
  </si>
  <si>
    <t>+USD 25–40 M/año</t>
  </si>
  <si>
    <t>Comienza a generarse CFADS positivo. Fin del grace period. Amortización “sculpted” para DSCR ≈ 1.25.</t>
  </si>
  <si>
    <t>V. Operación plena</t>
  </si>
  <si>
    <t>6–10</t>
  </si>
  <si>
    <t>Saturación de constelación</t>
  </si>
  <si>
    <t>+USD 50–60 M/año</t>
  </si>
  <si>
    <t>Flujo estable, repago total del principal - DSCR 1.25</t>
  </si>
  <si>
    <t>rcapex_1</t>
  </si>
  <si>
    <t>Reposición parcial I</t>
  </si>
  <si>
    <t>MRA 10 + cash 10</t>
  </si>
  <si>
    <t>VI. Reposición satelital (RCAPEX)</t>
  </si>
  <si>
    <t>8–10</t>
  </si>
  <si>
    <t>Sustitución parcial de satélites</t>
  </si>
  <si>
    <t>-USD 15 M/año</t>
  </si>
  <si>
    <t>Cubierto con MRA + Cash Sweep.</t>
  </si>
  <si>
    <t>VII. Decommissioning</t>
  </si>
  <si>
    <t>11–12</t>
  </si>
  <si>
    <t>Fin de vida</t>
  </si>
  <si>
    <t>+USD 10 M (residual)</t>
  </si>
  <si>
    <t>Dividendos finales a equity.</t>
  </si>
  <si>
    <t>Implicancias en la Estructura Financiera</t>
  </si>
  <si>
    <t>Parámetro</t>
  </si>
  <si>
    <t>Lógica derivada del Buyer Persona / Timeline</t>
  </si>
  <si>
    <t>Periodo de gracia (Grace Period)</t>
  </si>
  <si>
    <t>3 años (coincide con la construcción y commissioning). Sólo intereses, sin amortización.</t>
  </si>
  <si>
    <t>8 años posteriores, “sculpted” para mantener DSCR ≈ 1.25–1.30.</t>
  </si>
  <si>
    <t>Duración total del préstamo</t>
  </si>
  <si>
    <t>11 años (3 + 8).</t>
  </si>
  <si>
    <t>DSRA objetivo</t>
  </si>
  <si>
    <t>12 meses del servicio de deuda senior.</t>
  </si>
  <si>
    <t>MRA objetivo</t>
  </si>
  <si>
    <t>50 % del próximo RCAPEX (año 8).</t>
  </si>
  <si>
    <t>Inicio de repago</t>
  </si>
  <si>
    <t>Año 4 (cuando CFADS positivo supera intereses).</t>
  </si>
  <si>
    <t>Dividend lock-up</t>
  </si>
  <si>
    <t>DSCR &lt; 1.25 → dividendos bloqueados automáticamente por smart contract.</t>
  </si>
  <si>
    <t>Evento de default técnico</t>
  </si>
  <si>
    <t>DSCR &lt; 1.0 durante dos períodos consecutivos.</t>
  </si>
  <si>
    <t>Financiamiento inicial</t>
  </si>
  <si>
    <t>Todo el capital (deuda + equity) desembolsado antes del lanzamiento → la SPV recibe la deuda completa desde el inicio, en desembolsos escalonados según hitos.</t>
  </si>
  <si>
    <t>Horizonte: 15 años</t>
  </si>
  <si>
    <t>CFADS = Revenue – OPEX – Maintenance – ΔWC – Tax – RCAPEX</t>
  </si>
  <si>
    <t>CAPEX total: 90 MUSD</t>
  </si>
  <si>
    <t>revenue_gross</t>
  </si>
  <si>
    <t>opex</t>
  </si>
  <si>
    <t>maintenance_opex</t>
  </si>
  <si>
    <t>working_cap_change</t>
  </si>
  <si>
    <t>tax_paid</t>
  </si>
  <si>
    <t>rcapex_amount</t>
  </si>
  <si>
    <t>CFADS</t>
  </si>
  <si>
    <t>Ramp-up: 3 años hasta punto de equilibrio (año 5)</t>
  </si>
  <si>
    <t>Fase 1: fabricación y despliegue (parcial)</t>
  </si>
  <si>
    <t>Margen operativo bruto (EBITDA/revenue): 45–50% en régimen</t>
  </si>
  <si>
    <t>Fase 2: commissioning</t>
  </si>
  <si>
    <t>RCAPEX: Reposición cada 5 años (~20–30 MUSD)</t>
  </si>
  <si>
    <t>Inicio servicio beta</t>
  </si>
  <si>
    <t>Impuesto efectivo: 25–30%</t>
  </si>
  <si>
    <t>Ingresos recurrentes crecen</t>
  </si>
  <si>
    <t>Δ Working Capital: 1–2% de revenue (en crecimiento)</t>
  </si>
  <si>
    <t>Break-even operativo</t>
  </si>
  <si>
    <t>Cobertura global completa</t>
  </si>
  <si>
    <t>Madurez operativa</t>
  </si>
  <si>
    <t>Margen máximo</t>
  </si>
  <si>
    <t>Estabilización de demanda</t>
  </si>
  <si>
    <t>Inicio fase reposiciones</t>
  </si>
  <si>
    <t>Saturación de mercado</t>
  </si>
  <si>
    <t>Fin del repago</t>
  </si>
  <si>
    <t>Fase madura (post-debt)</t>
  </si>
  <si>
    <t>Flujo equity</t>
  </si>
  <si>
    <t>Fin de ciclo económico</t>
  </si>
  <si>
    <t>CFADS (USD M)</t>
  </si>
  <si>
    <t>Int_Senior</t>
  </si>
  <si>
    <t>Amort_Senior</t>
  </si>
  <si>
    <t>Int_Mezz</t>
  </si>
  <si>
    <t>Amort_Mezz</t>
  </si>
  <si>
    <t>Int_Sub</t>
  </si>
  <si>
    <t>Amort_Sub</t>
  </si>
  <si>
    <t>Servicio de
 deuda total (USD M)</t>
  </si>
  <si>
    <t>DSCR</t>
  </si>
  <si>
    <t>CFADS-Int Tot</t>
  </si>
  <si>
    <t>Amor Total</t>
  </si>
  <si>
    <t>S</t>
  </si>
  <si>
    <t>M</t>
  </si>
  <si>
    <t>CAPEX y ramp-up (sin ingresos)</t>
  </si>
  <si>
    <t>Fase preoperativa</t>
  </si>
  <si>
    <t>Primeros clientes IoT</t>
  </si>
  <si>
    <t>Near break-even, aún interest-only</t>
  </si>
  <si>
    <t>Inicio amortización (DSCR≈1)</t>
  </si>
  <si>
    <t>DSCR objetivo alcanzado</t>
  </si>
  <si>
    <t>Cashflow estable</t>
  </si>
  <si>
    <t>Máximo DSCR operativo</t>
  </si>
  <si>
    <t>Cobertura holgada</t>
  </si>
  <si>
    <t>DSCR mantiene holgura</t>
  </si>
  <si>
    <t>Últimos años de repago</t>
  </si>
  <si>
    <t>Fin del repago (sin saldos vivos)</t>
  </si>
  <si>
    <t>Free CF post-debt</t>
  </si>
  <si>
    <t>Flujo equity neto</t>
  </si>
  <si>
    <t>Reservas MRA / RCAPEX</t>
  </si>
  <si>
    <t>1️⃣ CFADS vs Servicio Total</t>
  </si>
  <si>
    <t>Tipo: gráfico de líneas.</t>
  </si>
  <si>
    <t>Eje X: años (1–15).</t>
  </si>
  <si>
    <t>Tramo</t>
  </si>
  <si>
    <t>Principal inicial (USD M)</t>
  </si>
  <si>
    <t>Grace</t>
  </si>
  <si>
    <t>Pagos</t>
  </si>
  <si>
    <t>Protección</t>
  </si>
  <si>
    <t>Comentario</t>
  </si>
  <si>
    <t>SOFR + 100 bps</t>
  </si>
  <si>
    <t>flotante</t>
  </si>
  <si>
    <t>sculpted</t>
  </si>
  <si>
    <t>12 meses</t>
  </si>
  <si>
    <t>Se amortiza de forma sculpted (ligada a CFADS), comenzando tras el grace.</t>
  </si>
  <si>
    <t>DSRA cubre 12 meses de deuda.</t>
  </si>
  <si>
    <t>Base SOFR + 100 bps.</t>
  </si>
  <si>
    <t>Ejes Y: montos en millones USD.</t>
  </si>
  <si>
    <t>Mezzanine</t>
  </si>
  <si>
    <t>SOFR + 300 bps</t>
  </si>
  <si>
    <t>level payment</t>
  </si>
  <si>
    <t>Pagos level payment, más lentos.</t>
  </si>
  <si>
    <t>No tiene DSRA directo, subordinado al senior.</t>
  </si>
  <si>
    <t>SOFR + 300 bps.</t>
  </si>
  <si>
    <t>Subordinated (Token)</t>
  </si>
  <si>
    <t>Fixed (USDC) + 600 bps</t>
  </si>
  <si>
    <t>bullet</t>
  </si>
  <si>
    <t>24 meses</t>
  </si>
  <si>
    <t>Solo paga intereses periódicos.</t>
  </si>
  <si>
    <t>Recupera capital al final (bullet).</t>
  </si>
  <si>
    <t>TOKEN_USDC + 600 bps.</t>
  </si>
  <si>
    <t>Serie 1 (azul): CFADS.</t>
  </si>
  <si>
    <t>Serie 2 (roja): Servicio_Total.</t>
  </si>
  <si>
    <t>Años 1–4: gracia total, intereses-only. DSCR &lt; 1 → cubierto con equity + DSRA.</t>
  </si>
  <si>
    <t>Años 5–12: amortización escalonada (“sculpted”) → DSCR promedio ≈ 1.6×, mínimo 1.0×.</t>
  </si>
  <si>
    <t>Interpretación:</t>
  </si>
  <si>
    <t>Años 13–15: deuda cancelada, flujos a equity (potencial para dividendos o MRA).</t>
  </si>
  <si>
    <t>Muestra la cobertura de deuda año a año; cuando CFADS &gt; Servicio, el excedente puede ir a MRA/DSRA o dividendos.</t>
  </si>
  <si>
    <t>Perfil típico de PF: “U” invertida — deuda se paga cuando CFADS crece y se estabiliza.</t>
  </si>
  <si>
    <t>Reserva de Servicio de Deuda (DSRA): equivalente a 12 meses de servicio senior ≈ 10–12 MUSD, cubre riesgo de brechas en los primeros años.</t>
  </si>
  <si>
    <t>Maintenance Reserve Account (MRA): acumula desde año 9 para RCAPEX (no afecta DSCR).</t>
  </si>
  <si>
    <t>2️⃣ DSCR vs Umbral Objetivo</t>
  </si>
  <si>
    <t>Serie 1: DSCR.</t>
  </si>
  <si>
    <t>Serie 2 (línea discontinua): línea constante en 1.43×.</t>
  </si>
  <si>
    <t>3️⃣ Saldos de Deuda por Tramo (área apilada)</t>
  </si>
  <si>
    <t>Eje Y: ratio (sin unidades).</t>
  </si>
  <si>
    <t>Serie 1 (azul): saldo Senior.</t>
  </si>
  <si>
    <t>Permite ver visualmente el cumplimiento de covenants y períodos de lock-up.</t>
  </si>
  <si>
    <t>Serie 2 (naranja): saldo Mezzanine.</t>
  </si>
  <si>
    <t>Los años con DSCR &lt; 1.25 activarían el bloqueo de dividendos.</t>
  </si>
  <si>
    <t>Serie 3 (gris): saldo Subordinado.</t>
  </si>
  <si>
    <t>Eje Y: millones USD.</t>
  </si>
  <si>
    <t>4️⃣ Flujos por Tramo (barras con IRR anotada)</t>
  </si>
  <si>
    <t>Serie de columnas agrupadas: flujos anuales de cada tramo (Intereses + Amortización).</t>
  </si>
  <si>
    <t>Visualiza cómo el repago escultido reduce progresivamente los saldos hasta cero, respetando la prioridad de pagos.</t>
  </si>
  <si>
    <t>En la leyenda se muestra la TIR calculada (IRR() en “Flujos IRR”).</t>
  </si>
  <si>
    <t>Eje X: años (0–15).</t>
  </si>
  <si>
    <t>5️⃣ Evolución de Reservas (DSRA y MRA)</t>
  </si>
  <si>
    <t>Tipo: gráfico de líneas apiladas.</t>
  </si>
  <si>
    <t>Serie 1 (verde): saldo DSRA.</t>
  </si>
  <si>
    <t>Sirve para mostrar la estructura de retornos por riesgo:</t>
  </si>
  <si>
    <t>Senior ≈ 6%, Mezz ≈ 9%, Sub ≈ 11%.</t>
  </si>
  <si>
    <t>Serie 2 (gris claro): saldo MRA.</t>
  </si>
  <si>
    <t>Muestra los ciclos de descarga y recarga de las reservas.</t>
  </si>
  <si>
    <t>DSRA baja durante la fase de ramp-up y se repone cuando hay excedentes.</t>
  </si>
  <si>
    <t>MRA se acumula antes de los años con RCAPEX (10 y 15) y se usa totalmente en esos años.</t>
  </si>
  <si>
    <t>Factor descuento (1/(1+WACD)^t)</t>
  </si>
  <si>
    <t>Valor presente</t>
  </si>
  <si>
    <t>Métrica</t>
  </si>
  <si>
    <t>Valor calculado</t>
  </si>
  <si>
    <t>Fórmula / Definición</t>
  </si>
  <si>
    <t>Interpretación</t>
  </si>
  <si>
    <t>DSCR medio (años 5–12)</t>
  </si>
  <si>
    <t>1.60×</t>
  </si>
  <si>
    <t>promedio CFADS / servicio total</t>
  </si>
  <si>
    <t>Nivel óptimo: &gt;1.4× → proyecto bancable</t>
  </si>
  <si>
    <t>DSCR mínimo</t>
  </si>
  <si>
    <t>1.00×</t>
  </si>
  <si>
    <t>año 5 (inicio repago)</t>
  </si>
  <si>
    <t>punto de control para DSRA</t>
  </si>
  <si>
    <t>LLCR (Loan Life Coverage Ratio)</t>
  </si>
  <si>
    <t>1.37×</t>
  </si>
  <si>
    <t>NPV(CFADS vida deuda) / Deuda viva al inicio repago</t>
  </si>
  <si>
    <t>Cobertura razonable para riesgo medio (fuente: Esty, Gatti)</t>
  </si>
  <si>
    <t>PLCR (Project Life Coverage Ratio)</t>
  </si>
  <si>
    <t>1.42×</t>
  </si>
  <si>
    <t>NPV(CFADS 1–15) / Deuda total</t>
  </si>
  <si>
    <t>Margen de cobertura total del proyecto</t>
  </si>
  <si>
    <t>WACD (Weighted Avg. Cost of Debt)</t>
  </si>
  <si>
    <t>7.6 %</t>
  </si>
  <si>
    <t>(∑ r_i × principal_i)/∑ principal</t>
  </si>
  <si>
    <t>Costo promedio ponderado de la deuda</t>
  </si>
  <si>
    <t>&gt; 1.40</t>
  </si>
  <si>
    <t>Muy sólido — margen de seguridad robusto</t>
  </si>
  <si>
    <t>Aceptable — bancable sin soporte adicional</t>
  </si>
  <si>
    <t>1.10 – 1.25</t>
  </si>
  <si>
    <t>Marginal — requiere DSRA o garantía parcial</t>
  </si>
  <si>
    <t>&lt; 1.10</t>
  </si>
  <si>
    <t>Riesgoso — no bancable (deuda sobredimensionada)</t>
  </si>
  <si>
    <t>PLCR ≥ 1.4×</t>
  </si>
  <si>
    <t>Conservador</t>
  </si>
  <si>
    <t>✅ 1.42×</t>
  </si>
  <si>
    <t>DSRA = 12 meses servicio</t>
  </si>
  <si>
    <t>Estándar</t>
  </si>
  <si>
    <t>✅ Incluido conceptualmente</t>
  </si>
  <si>
    <t>RCAPEX vía MRA</t>
  </si>
  <si>
    <t>Buenas prácticas</t>
  </si>
  <si>
    <t>✅ Aplicado (no afecta CFADS)</t>
  </si>
  <si>
    <t>LLCR ≥ 1.3×</t>
  </si>
  <si>
    <t>Bancable</t>
  </si>
  <si>
    <t>✅ 1.37×</t>
  </si>
  <si>
    <t>En estructuras PF reales, los umbrales mínimos típicos:</t>
  </si>
  <si>
    <t>LLCR ≥ 1.20–1.30 para proyectos maduros (utilities, infra digital).</t>
  </si>
  <si>
    <t>PLCR ≥ 1.40–1.60 para confort de largo plazo.</t>
  </si>
  <si>
    <t>A) Palancas sobre CFADS (numerador)</t>
  </si>
  <si>
    <t>Más ingresos: contratos ancla, take-or-pay/capacity commitments, pricing/ARPU mejor, o mayor penetración/volumen (ojo consistencia con buyer persona y competencia).</t>
  </si>
  <si>
    <t>Menos OPEX/maintenance: eficiencias TT&amp;C/energía/seguros; calendarizar mejor RCAPEX para no concentrarlo en años críticos.</t>
  </si>
  <si>
    <t>“El LLCR y PLCR calculados sobre el flujo base muestran una cobertura inferior a 1×, evidenciando la necesidad de ajustar la estructura (ya sea por incremento del equity inicial, extensión de tenor o reducción del WACD mediante spreads más competitivos). En términos de pricing, el bajo LLCR explica spreads elevados (300–600 bps) requeridos por los inversores mezzanine y subordinados para alcanzar el EL y CVaR target.”</t>
  </si>
  <si>
    <t>Hedging de tasas/energía (cap/floor) para reducir volatilidad negativa del CFADS y mejorar cobertura promedio (indirecto sobre LLCR/PLCR vía estabilidad).</t>
  </si>
  <si>
    <t>B) Palancas sobre tasa/discount rate (r del NPV)</t>
  </si>
  <si>
    <t>Bajar WACD/costo de deuda:</t>
  </si>
  <si>
    <t>reducir spreads (mejoras de estructura, garantías, liquidez tokenizada, ECA/MLA, etc.);</t>
  </si>
  <si>
    <t>aumentar calidad/tenor de contratos;</t>
  </si>
  <si>
    <t>colateral híbrido (activos + reservas on-chain) que reduzca PD/LGD percibida.</t>
  </si>
  <si>
    <t>Menor r ⇒ mayor PV de CFADS ⇒ suben LLCR/PLCR.</t>
  </si>
  <si>
    <t>C) Palancas sobre perfil de deuda (denominador y servicio)</t>
  </si>
  <si>
    <t>Más equity / menos deuda al cierre (subí el equity del 30 % a 35–40 % o baja el monto de deuda): baja el denominador.</t>
  </si>
  <si>
    <t>Tenor más largo o amortización “sculpted” para alinear servicio con ramp-up: reduce presión temprana y aumenta ventana de flujos que entran al NPV del LLCR.</t>
  </si>
  <si>
    <t>Grace más largo (interest-only) si el ramp-up es más lento; mejora DSCR inicial y evita draw de reservas (no cambia LLCR directamente pero te permite sostener estructura que sí lo mejora).</t>
  </si>
  <si>
    <t>Refinanciación “mini-perm” (si esperás que el proyecto sea más bancable con históricos): primer tramo corto, luego refi con mejores términos; sube LLCR ex-ante si el r esperado de refi es menor.</t>
  </si>
  <si>
    <t>D) Palancas tokenizadas (impacto vía r y liquidez)</t>
  </si>
  <si>
    <t>Menor prima de iliquidez por mercado secundario de tokens (mejor price discovery) → spread menor.</t>
  </si>
  <si>
    <t>Gobernanza digital / reservas programables (DSRA/MRA on-chain) → menor correlación de default entre tramos y mejor percepción de recupero → spread menor.</t>
  </si>
  <si>
    <t>Colateral digital (escrow en stablecoins, oráculos auditables) que reduce riesgo operativo de pagos. Todo esto empuja r a la baja, mejorando LLCR/PLCR.</t>
  </si>
  <si>
    <t>BOP_Senior</t>
  </si>
  <si>
    <t>BOP_Mezz</t>
  </si>
  <si>
    <t>BOP_Sub</t>
  </si>
  <si>
    <t>S_star</t>
  </si>
  <si>
    <t>Atot</t>
  </si>
  <si>
    <t>Amort_Senior_base</t>
  </si>
  <si>
    <t>Amort_Mezz_base</t>
  </si>
  <si>
    <t>Amort_Sub_base</t>
  </si>
  <si>
    <t>Leftover1</t>
  </si>
  <si>
    <t>Add_Senior</t>
  </si>
  <si>
    <t>Leftover2</t>
  </si>
  <si>
    <t>Add_Mezz</t>
  </si>
  <si>
    <t>Leftover3</t>
  </si>
  <si>
    <t>Add_Sub</t>
  </si>
  <si>
    <t>EOP_Senior</t>
  </si>
  <si>
    <t>EOP_Mezz</t>
  </si>
  <si>
    <t>EOP_Sub</t>
  </si>
  <si>
    <t>Service</t>
  </si>
  <si>
    <t>Extra_Capacity</t>
  </si>
  <si>
    <t>Extra_S</t>
  </si>
  <si>
    <t>Extra_M</t>
  </si>
  <si>
    <t>Extra_U</t>
  </si>
  <si>
    <t>📘 1. Estructura lógica del Waterfall (orden de prioridad)</t>
  </si>
  <si>
    <t>El Waterfall o “cash flow cascade” es una tabla de flujos ordenada según prelación de pagos.</t>
  </si>
  <si>
    <t>Orden</t>
  </si>
  <si>
    <t>Concepto</t>
  </si>
  <si>
    <t>Fórmula / Acción</t>
  </si>
  <si>
    <t>Resultado</t>
  </si>
  <si>
    <t>Flujo operativo disponible para servicio de deuda</t>
  </si>
  <si>
    <t>Ingreso base del año</t>
  </si>
  <si>
    <t>Pago intereses + amortizaciones (senior → mezz → sub)</t>
  </si>
  <si>
    <t>=MIN(CFADS + DSRA_draw, Servicio_Total)</t>
  </si>
  <si>
    <t>Si CFADS no alcanza, se usa DSRA</t>
  </si>
  <si>
    <t>DSRA draw (si CFADS &lt; servicio)</t>
  </si>
  <si>
    <t>=MIN(Faltante, DSRA_balance)</t>
  </si>
  <si>
    <t>Reduce DSRA</t>
  </si>
  <si>
    <t>DSRA top-up (si sobran fondos y DSRA &lt; target)</t>
  </si>
  <si>
    <t>=MIN(DSRA_target - DSRA_balance, Cash_remanente)</t>
  </si>
  <si>
    <t>Restaura DSRA</t>
  </si>
  <si>
    <t>MRA use (si hay RCAPEX ese año)</t>
  </si>
  <si>
    <t>=MIN(RCAPEX_t, MRA_balance)</t>
  </si>
  <si>
    <t>Disminuye MRA</t>
  </si>
  <si>
    <t>MRA top-up (si no se alcanzó target para próximo RCAPEX)</t>
  </si>
  <si>
    <t>=MIN(MRA_target - MRA_balance, Cash_remanente)</t>
  </si>
  <si>
    <t>Reconstituye MRA</t>
  </si>
  <si>
    <t>Cash sweep / dividendos</t>
  </si>
  <si>
    <t>=MAX(0, Cash_remanente)</t>
  </si>
  <si>
    <t>Flujo residual a equity</t>
  </si>
  <si>
    <t>Años 1–4: DSRA cubre déficit (draw), CFADS negativo → DSRA baja.</t>
  </si>
  <si>
    <t>Años 5–6: CFADS supera servicio → se repone DSRA (top-up), se fondea MRA para RCAPEX futuro.</t>
  </si>
  <si>
    <t>Años 10 y 15: MRA se usa (MRA_use) para pagar el RCAPEX satelital (reposición).</t>
  </si>
  <si>
    <t>Tu tesis propone tokenizar los tramos de deuda (Senior / Mezz / Sub) pero mantener las cuentas de reserva (DSRA, MRA) como smart contracts custodiados:</t>
  </si>
  <si>
    <t>Off-chain equivalente</t>
  </si>
  <si>
    <t>On-chain implementación</t>
  </si>
  <si>
    <t>DSRA</t>
  </si>
  <si>
    <t>Escrow bancario a nombre del SPV</t>
  </si>
  <si>
    <t>Smart contract de custodia con lógica de top-up/draw</t>
  </si>
  <si>
    <t>MRA</t>
  </si>
  <si>
    <t>Cuenta restringida en proyecto</t>
  </si>
  <si>
    <t>Smart contract vinculado al calendario RCAPEX</t>
  </si>
  <si>
    <t>Dividend Lock-up</t>
  </si>
  <si>
    <t>Covenant contractual</t>
  </si>
  <si>
    <t>Condición automatizada (if DSCR &lt; 1.25 then lock=true)</t>
  </si>
  <si>
    <t>Cash Sweep</t>
  </si>
  <si>
    <t>Obligación de prepago anticipado</t>
  </si>
  <si>
    <t>Smart function (if CFADS &gt; target then sweep = %excedente)</t>
  </si>
  <si>
    <t>El flujo de caja del SPV (en USDC/fiat) puede representarse como tokens de entrada que recorren el waterfall en un árbol de distribución on-chain.</t>
  </si>
  <si>
    <t>Esa lógica es exactamente lo que tenés modelado en la pestaña Waterfall.</t>
  </si>
  <si>
    <t>Param</t>
  </si>
  <si>
    <t>Value</t>
  </si>
  <si>
    <t>Principal_Senior</t>
  </si>
  <si>
    <t>Principal_Mezz</t>
  </si>
  <si>
    <t>Principal_Sub</t>
  </si>
  <si>
    <t>Rate_Senior</t>
  </si>
  <si>
    <t>Rate_Mezz</t>
  </si>
  <si>
    <t>Rate_Sub</t>
  </si>
  <si>
    <t>Grace_Years</t>
  </si>
  <si>
    <t>Tenor_Years</t>
  </si>
  <si>
    <t>DSCR_Obj</t>
  </si>
  <si>
    <t>Weight_Senior</t>
  </si>
  <si>
    <t>Weight_Mezz</t>
  </si>
  <si>
    <t>Weight_Sub</t>
  </si>
  <si>
    <t>Flujo Senior</t>
  </si>
  <si>
    <t>Flujo Mezz</t>
  </si>
  <si>
    <t>Flujo Sub</t>
  </si>
  <si>
    <t>Inversión inicial (MUSD)</t>
  </si>
  <si>
    <t>Promedio de cobros anuales (MUSD)</t>
  </si>
  <si>
    <t>TIR nominal anual estimada</t>
  </si>
  <si>
    <t>Rango típico PF (benchmark)</t>
  </si>
  <si>
    <t>≈ 6.1 – 6.3 %</t>
  </si>
  <si>
    <t>5 – 7 % (bancable, investment grade)</t>
  </si>
  <si>
    <t>≈ 8.7 – 9.0 %</t>
  </si>
  <si>
    <t>8 – 11 % (riesgo medio)</t>
  </si>
  <si>
    <t>Subordinado</t>
  </si>
  <si>
    <t>≈ 11.2 – 11.5 %</t>
  </si>
  <si>
    <t>10 – 14 % (riesgo alto / equity-like)</t>
  </si>
  <si>
    <t>Riesgo</t>
  </si>
  <si>
    <t>Prioridad en waterfall</t>
  </si>
  <si>
    <t>TIR vs riesgo</t>
  </si>
  <si>
    <t>Bajo</t>
  </si>
  <si>
    <t>Pago primero</t>
  </si>
  <si>
    <t>Baja volatilidad del flujo</t>
  </si>
  <si>
    <t>Financia 60 % de la deuda; equivalente a un bono A/BBB; óptimo para fondos de infraestructura o tokens estables colateralizados.</t>
  </si>
  <si>
    <t>Medio</t>
  </si>
  <si>
    <t>Pago intermedio</t>
  </si>
  <si>
    <t>Spread ≈ +250 bps sobre senior</t>
  </si>
  <si>
    <t>Cubre riesgo de flujo (años 5-12). Token con mayor yield y menor liquidez; atractivo para inversores DeFi institucionales.</t>
  </si>
  <si>
    <t>Alto</t>
  </si>
  <si>
    <t>Último en el waterfall</t>
  </si>
  <si>
    <t>Alto retorno (≈ 11 %)</t>
  </si>
  <si>
    <t>Actúa como “bridge” entre deuda y equity; puede tokenizarse con sobrecolateralización o yield variable.</t>
  </si>
  <si>
    <t>Valor</t>
  </si>
  <si>
    <t>Base rate (SOFR)</t>
  </si>
  <si>
    <t>contexto USD 2025</t>
  </si>
  <si>
    <t>Spread senior</t>
  </si>
  <si>
    <t>→ 6.0 %</t>
  </si>
  <si>
    <t>TIR</t>
  </si>
  <si>
    <t>Spread mezzanine</t>
  </si>
  <si>
    <t>→ 8.5 %</t>
  </si>
  <si>
    <t>Spread subordinado</t>
  </si>
  <si>
    <t>→ 11.0 %</t>
  </si>
  <si>
    <t>WACD (ponderado)</t>
  </si>
  <si>
    <t>7.4 %</t>
  </si>
  <si>
    <t>coherente con TIR ponderadas</t>
  </si>
  <si>
    <t>TIR_Senior ≈ 6.2 %</t>
  </si>
  <si>
    <t>TIR_Mezz ≈ 8.8 %</t>
  </si>
  <si>
    <t>TIR_Sub ≈ 11.4 %</t>
  </si>
  <si>
    <t>5. Lectura estratégica (tesis / TP)</t>
  </si>
  <si>
    <t>Las TIRs escalonadas reflejan la eficiencia del tranching tokenizado:</t>
  </si>
  <si>
    <t>cada inversor puede elegir exposición y retorno según su perfil de riesgo.</t>
  </si>
  <si>
    <t>El spread incremental de ~250 bps por nivel está en línea con los credit spreads históricos de préstamos sindicados en infraestructuras tecnológicas.</t>
  </si>
  <si>
    <t>(Ver: Moody’s Project Finance Default Study, IJGlobal InfraDebt Benchmarks.)</t>
  </si>
  <si>
    <t>En un modelo on-chain, estos rendimientos se pueden ofrecer vía smart contracts, con cupones tokenizados (e.g. SeniorToken6, MezzToken9, SubToken11).</t>
  </si>
  <si>
    <t>Conclusión técnica</t>
  </si>
  <si>
    <t>Indicador</t>
  </si>
  <si>
    <t>Evaluación</t>
  </si>
  <si>
    <t>TIR Senior</t>
  </si>
  <si>
    <t>6.2 %</t>
  </si>
  <si>
    <t>En línea con deuda senior tradicional</t>
  </si>
  <si>
    <t>IRR(flows Senior)</t>
  </si>
  <si>
    <t>Comparable a bonos investment-grade</t>
  </si>
  <si>
    <t>TIR Mezz</t>
  </si>
  <si>
    <t>8.8 %</t>
  </si>
  <si>
    <t>Compensa riesgo de subordinación media</t>
  </si>
  <si>
    <t>TIR Mezzanine</t>
  </si>
  <si>
    <t>IRR(flows Mezz)</t>
  </si>
  <si>
    <t>Riesgo medio–alto</t>
  </si>
  <si>
    <t>TIR Sub</t>
  </si>
  <si>
    <t>11.4 %</t>
  </si>
  <si>
    <t>Retorno alto, similar a private debt / equity</t>
  </si>
  <si>
    <t>TIR Subordinado</t>
  </si>
  <si>
    <t>IRR(flows Sub)</t>
  </si>
  <si>
    <t>Compensa riesgo residual de subordinación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</si>
</sst>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11.0"/>
      <color rgb="FF000000"/>
      <name val="Calibri"/>
    </font>
    <font>
      <b/>
      <sz val="14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Calibri"/>
    </font>
    <font>
      <b/>
      <sz val="18.0"/>
      <color theme="1"/>
      <name val="Arial"/>
      <scheme val="minor"/>
    </font>
    <font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3F6FA"/>
        <bgColor rgb="FFF3F6FA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/>
    </xf>
    <xf borderId="0" fillId="2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9" xfId="0" applyAlignment="1" applyFont="1" applyNumberFormat="1">
      <alignment readingOrder="0"/>
    </xf>
    <xf borderId="0" fillId="2" fontId="3" numFmtId="10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0" fillId="2" fontId="3" numFmtId="10" xfId="0" applyAlignment="1" applyFont="1" applyNumberFormat="1">
      <alignment horizontal="center" readingOrder="0"/>
    </xf>
    <xf borderId="0" fillId="2" fontId="3" numFmtId="10" xfId="0" applyAlignment="1" applyFont="1" applyNumberFormat="1">
      <alignment horizontal="center"/>
    </xf>
    <xf borderId="0" fillId="2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/>
    </xf>
    <xf borderId="1" fillId="3" fontId="5" numFmtId="0" xfId="0" applyAlignment="1" applyBorder="1" applyFont="1">
      <alignment horizontal="center" readingOrder="0"/>
    </xf>
    <xf borderId="0" fillId="4" fontId="3" numFmtId="0" xfId="0" applyAlignment="1" applyFont="1">
      <alignment horizontal="center"/>
    </xf>
    <xf borderId="0" fillId="4" fontId="3" numFmtId="10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quotePrefix="1"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1" fillId="0" fontId="6" numFmtId="0" xfId="0" applyAlignment="1" applyBorder="1" applyFont="1">
      <alignment horizontal="center" vertical="bottom"/>
    </xf>
    <xf borderId="2" fillId="5" fontId="5" numFmtId="0" xfId="0" applyAlignment="1" applyBorder="1" applyFill="1" applyFont="1">
      <alignment horizontal="center" readingOrder="0"/>
    </xf>
    <xf borderId="0" fillId="4" fontId="8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1" fillId="0" fontId="8" numFmtId="0" xfId="0" applyAlignment="1" applyBorder="1" applyFont="1">
      <alignment horizontal="center" readingOrder="0" shrinkToFit="0" vertical="bottom" wrapText="0"/>
    </xf>
    <xf borderId="0" fillId="3" fontId="5" numFmtId="0" xfId="0" applyAlignment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bottom" wrapText="0"/>
    </xf>
    <xf borderId="1" fillId="6" fontId="3" numFmtId="0" xfId="0" applyAlignment="1" applyBorder="1" applyFill="1" applyFont="1">
      <alignment horizontal="center" readingOrder="0"/>
    </xf>
    <xf borderId="1" fillId="0" fontId="8" numFmtId="2" xfId="0" applyAlignment="1" applyBorder="1" applyFont="1" applyNumberFormat="1">
      <alignment horizontal="center" readingOrder="0" shrinkToFit="0" vertical="bottom" wrapText="0"/>
    </xf>
    <xf borderId="1" fillId="4" fontId="8" numFmtId="2" xfId="0" applyAlignment="1" applyBorder="1" applyFont="1" applyNumberFormat="1">
      <alignment horizontal="center" readingOrder="0" shrinkToFit="0" vertical="bottom" wrapText="0"/>
    </xf>
    <xf borderId="1" fillId="4" fontId="3" numFmtId="2" xfId="0" applyAlignment="1" applyBorder="1" applyFont="1" applyNumberForma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3" numFmtId="0" xfId="0" applyFont="1"/>
    <xf borderId="0" fillId="0" fontId="3" numFmtId="2" xfId="0" applyAlignment="1" applyFont="1" applyNumberFormat="1">
      <alignment horizontal="center"/>
    </xf>
    <xf borderId="1" fillId="7" fontId="3" numFmtId="0" xfId="0" applyAlignment="1" applyBorder="1" applyFont="1">
      <alignment horizontal="center" readingOrder="0"/>
    </xf>
    <xf borderId="0" fillId="8" fontId="3" numFmtId="2" xfId="0" applyAlignment="1" applyFill="1" applyFont="1" applyNumberFormat="1">
      <alignment horizontal="center"/>
    </xf>
    <xf borderId="0" fillId="0" fontId="9" numFmtId="0" xfId="0" applyAlignment="1" applyFont="1">
      <alignment readingOrder="0"/>
    </xf>
    <xf borderId="0" fillId="0" fontId="9" numFmtId="0" xfId="0" applyFont="1"/>
    <xf borderId="1" fillId="0" fontId="1" numFmtId="0" xfId="0" applyAlignment="1" applyBorder="1" applyFont="1">
      <alignment horizontal="left" readingOrder="0"/>
    </xf>
    <xf borderId="1" fillId="8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0" fillId="0" fontId="10" numFmtId="0" xfId="0" applyFont="1"/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1" fillId="0" fontId="3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3" fillId="9" fontId="1" numFmtId="0" xfId="0" applyAlignment="1" applyBorder="1" applyFill="1" applyFont="1">
      <alignment horizontal="center"/>
    </xf>
    <xf borderId="0" fillId="0" fontId="14" numFmtId="2" xfId="0" applyFont="1" applyNumberFormat="1"/>
    <xf borderId="0" fillId="10" fontId="14" numFmtId="2" xfId="0" applyAlignment="1" applyFill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7" fontId="3" numFmtId="0" xfId="0" applyFont="1"/>
    <xf borderId="0" fillId="10" fontId="14" numFmtId="2" xfId="0" applyAlignment="1" applyFont="1" applyNumberFormat="1">
      <alignment horizontal="center" readingOrder="0"/>
    </xf>
    <xf borderId="0" fillId="0" fontId="12" numFmtId="0" xfId="0" applyFont="1"/>
    <xf borderId="0" fillId="0" fontId="12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/>
    </xf>
    <xf borderId="0" fillId="0" fontId="8" numFmtId="4" xfId="0" applyAlignment="1" applyFont="1" applyNumberFormat="1">
      <alignment horizontal="center" readingOrder="0" shrinkToFit="0" vertical="bottom" wrapText="0"/>
    </xf>
    <xf borderId="0" fillId="0" fontId="3" numFmtId="4" xfId="0" applyAlignment="1" applyFont="1" applyNumberFormat="1">
      <alignment horizontal="center" readingOrder="0"/>
    </xf>
    <xf borderId="4" fillId="0" fontId="3" numFmtId="0" xfId="0" applyAlignment="1" applyBorder="1" applyFont="1">
      <alignment readingOrder="0"/>
    </xf>
    <xf borderId="5" fillId="4" fontId="3" numFmtId="10" xfId="0" applyAlignment="1" applyBorder="1" applyFont="1" applyNumberFormat="1">
      <alignment horizontal="center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CFADS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CFADS!$I$3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CFADS!$I$4:$I$18</c:f>
              <c:numCache/>
            </c:numRef>
          </c:val>
          <c:smooth val="0"/>
        </c:ser>
        <c:axId val="541651274"/>
        <c:axId val="507113619"/>
      </c:lineChart>
      <c:catAx>
        <c:axId val="541651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113619"/>
      </c:catAx>
      <c:valAx>
        <c:axId val="507113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CFADS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651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'Debt Service'!$K$2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'Debt Service'!$K$3:$K$17</c:f>
              <c:numCache/>
            </c:numRef>
          </c:val>
          <c:smooth val="0"/>
        </c:ser>
        <c:ser>
          <c:idx val="1"/>
          <c:order val="1"/>
          <c:tx>
            <c:strRef>
              <c:f>'Debt Service'!$N$2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'Debt Service'!$N$3:$N$17</c:f>
              <c:numCache/>
            </c:numRef>
          </c:val>
          <c:smooth val="0"/>
        </c:ser>
        <c:axId val="1846233825"/>
        <c:axId val="1079731743"/>
      </c:lineChart>
      <c:catAx>
        <c:axId val="1846233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731743"/>
      </c:catAx>
      <c:valAx>
        <c:axId val="1079731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233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'Debt Service'!$C$2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'Debt Service'!$C$3:$C$17</c:f>
              <c:numCache/>
            </c:numRef>
          </c:val>
          <c:smooth val="0"/>
        </c:ser>
        <c:ser>
          <c:idx val="1"/>
          <c:order val="1"/>
          <c:tx>
            <c:strRef>
              <c:f>'Debt Service'!$J$2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'Debt Service'!$J$3:$J$17</c:f>
              <c:numCache/>
            </c:numRef>
          </c:val>
          <c:smooth val="0"/>
        </c:ser>
        <c:axId val="1404710844"/>
        <c:axId val="1802337462"/>
      </c:lineChart>
      <c:catAx>
        <c:axId val="1404710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337462"/>
      </c:catAx>
      <c:valAx>
        <c:axId val="1802337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710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495300</xdr:colOff>
      <xdr:row>2</xdr:row>
      <xdr:rowOff>114300</xdr:rowOff>
    </xdr:from>
    <xdr:ext cx="7734300" cy="4781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847725</xdr:colOff>
      <xdr:row>40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142875</xdr:colOff>
      <xdr:row>22</xdr:row>
      <xdr:rowOff>19050</xdr:rowOff>
    </xdr:from>
    <xdr:ext cx="6372225" cy="3943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1438275</xdr:colOff>
      <xdr:row>18</xdr:row>
      <xdr:rowOff>66675</xdr:rowOff>
    </xdr:from>
    <xdr:ext cx="5114925" cy="6762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590550</xdr:colOff>
      <xdr:row>14</xdr:row>
      <xdr:rowOff>114300</xdr:rowOff>
    </xdr:from>
    <xdr:ext cx="5534025" cy="39433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23</xdr:row>
      <xdr:rowOff>85725</xdr:rowOff>
    </xdr:from>
    <xdr:ext cx="7181850" cy="12192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180975</xdr:colOff>
      <xdr:row>22</xdr:row>
      <xdr:rowOff>133350</xdr:rowOff>
    </xdr:from>
    <xdr:ext cx="6724650" cy="1714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90.13"/>
    <col customWidth="1" min="3" max="3" width="33.5"/>
    <col customWidth="1" min="4" max="4" width="19.63"/>
    <col customWidth="1" min="5" max="5" width="9.88"/>
    <col customWidth="1" min="6" max="6" width="10.5"/>
  </cols>
  <sheetData>
    <row r="1">
      <c r="A1" s="1"/>
      <c r="B1" s="1"/>
    </row>
    <row r="2">
      <c r="A2" s="2" t="s">
        <v>0</v>
      </c>
      <c r="B2" s="1"/>
    </row>
    <row r="3">
      <c r="A3" s="1" t="s">
        <v>1</v>
      </c>
      <c r="B3" s="1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6</v>
      </c>
    </row>
    <row r="6">
      <c r="A6" s="3" t="s">
        <v>7</v>
      </c>
      <c r="B6" s="5" t="s">
        <v>8</v>
      </c>
    </row>
    <row r="7">
      <c r="A7" s="3" t="s">
        <v>9</v>
      </c>
      <c r="B7" s="4" t="s">
        <v>10</v>
      </c>
      <c r="C7" s="6" t="s">
        <v>11</v>
      </c>
      <c r="D7" s="6" t="s">
        <v>12</v>
      </c>
    </row>
    <row r="8">
      <c r="A8" s="3" t="s">
        <v>13</v>
      </c>
      <c r="B8" s="3" t="s">
        <v>14</v>
      </c>
      <c r="C8" s="7">
        <v>72.0</v>
      </c>
      <c r="D8" s="7">
        <f>0.2*90</f>
        <v>18</v>
      </c>
      <c r="E8" s="8" t="s">
        <v>15</v>
      </c>
    </row>
    <row r="9">
      <c r="A9" s="3" t="s">
        <v>16</v>
      </c>
      <c r="B9" s="8" t="s">
        <v>17</v>
      </c>
    </row>
    <row r="10">
      <c r="A10" s="9">
        <v>0.6</v>
      </c>
      <c r="B10" s="4" t="s">
        <v>18</v>
      </c>
      <c r="C10" s="3" t="s">
        <v>19</v>
      </c>
    </row>
    <row r="11">
      <c r="A11" s="9">
        <v>0.25</v>
      </c>
      <c r="B11" s="4" t="s">
        <v>20</v>
      </c>
      <c r="C11" s="3" t="s">
        <v>21</v>
      </c>
    </row>
    <row r="12">
      <c r="A12" s="9">
        <v>0.15</v>
      </c>
      <c r="B12" s="4" t="s">
        <v>22</v>
      </c>
      <c r="C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8" t="s">
        <v>30</v>
      </c>
      <c r="B16" s="10" t="s">
        <v>31</v>
      </c>
      <c r="C16" s="8" t="s">
        <v>32</v>
      </c>
    </row>
    <row r="17">
      <c r="A17" s="8" t="s">
        <v>33</v>
      </c>
      <c r="B17" s="11" t="s">
        <v>34</v>
      </c>
      <c r="C17" s="11" t="s">
        <v>35</v>
      </c>
    </row>
    <row r="18">
      <c r="A18" s="8" t="s">
        <v>36</v>
      </c>
      <c r="B18" s="12">
        <v>0.05</v>
      </c>
      <c r="C18" s="12">
        <v>0.01</v>
      </c>
      <c r="D18" s="13">
        <f t="shared" ref="D18:D20" si="1">B18+C18</f>
        <v>0.06</v>
      </c>
    </row>
    <row r="19">
      <c r="A19" s="8" t="s">
        <v>37</v>
      </c>
      <c r="B19" s="12">
        <v>0.05</v>
      </c>
      <c r="C19" s="12">
        <v>0.035</v>
      </c>
      <c r="D19" s="13">
        <f t="shared" si="1"/>
        <v>0.085</v>
      </c>
    </row>
    <row r="20">
      <c r="A20" s="8" t="s">
        <v>38</v>
      </c>
      <c r="B20" s="12">
        <v>0.05</v>
      </c>
      <c r="C20" s="12">
        <v>0.06</v>
      </c>
      <c r="D20" s="13">
        <f t="shared" si="1"/>
        <v>0.11</v>
      </c>
    </row>
    <row r="21">
      <c r="A21" s="8" t="s">
        <v>39</v>
      </c>
      <c r="B21" s="14" t="s">
        <v>40</v>
      </c>
      <c r="C21" s="8" t="s">
        <v>41</v>
      </c>
    </row>
    <row r="22">
      <c r="A22" s="8" t="s">
        <v>42</v>
      </c>
    </row>
    <row r="23">
      <c r="A23" s="8" t="s">
        <v>43</v>
      </c>
      <c r="B23" s="14">
        <v>4.0</v>
      </c>
      <c r="C23" s="8" t="s">
        <v>44</v>
      </c>
      <c r="D23" s="8" t="s">
        <v>45</v>
      </c>
    </row>
    <row r="24">
      <c r="A24" s="8" t="s">
        <v>46</v>
      </c>
      <c r="B24" s="14">
        <v>15.0</v>
      </c>
      <c r="C24" s="8" t="s">
        <v>47</v>
      </c>
    </row>
    <row r="27">
      <c r="A27" s="15" t="s">
        <v>48</v>
      </c>
    </row>
    <row r="28">
      <c r="A28" s="16">
        <f>(Intro!D18*'Debt Service'!C29+'Debt Service'!C30*Intro!D19+Intro!D20*'Debt Service'!C31)/Intro!C8</f>
        <v>0.07375</v>
      </c>
      <c r="B28" s="8" t="s">
        <v>49</v>
      </c>
    </row>
    <row r="29">
      <c r="B29" s="8" t="s">
        <v>50</v>
      </c>
    </row>
    <row r="30">
      <c r="A30" s="17" t="s">
        <v>51</v>
      </c>
    </row>
    <row r="31">
      <c r="A31" s="18">
        <f>PLCR!F19</f>
        <v>1.519498373</v>
      </c>
    </row>
    <row r="32">
      <c r="A32" s="17" t="s">
        <v>52</v>
      </c>
    </row>
    <row r="33">
      <c r="A33" s="18">
        <f>PLCR!F21</f>
        <v>1.346051809</v>
      </c>
      <c r="B33" s="8" t="s">
        <v>53</v>
      </c>
    </row>
    <row r="35">
      <c r="A35" s="8" t="s">
        <v>54</v>
      </c>
    </row>
    <row r="36">
      <c r="A36" s="17" t="s">
        <v>55</v>
      </c>
    </row>
    <row r="37">
      <c r="A37" s="19">
        <f>IRR!E21</f>
        <v>0.06</v>
      </c>
    </row>
    <row r="38">
      <c r="A38" s="17" t="s">
        <v>56</v>
      </c>
    </row>
    <row r="39">
      <c r="A39" s="19">
        <f>IRR!F21</f>
        <v>0.085</v>
      </c>
    </row>
    <row r="40">
      <c r="A40" s="17" t="s">
        <v>57</v>
      </c>
    </row>
    <row r="41">
      <c r="A41" s="19">
        <f>IRR!G21</f>
        <v>0.11</v>
      </c>
    </row>
    <row r="46">
      <c r="A46" s="2" t="s">
        <v>58</v>
      </c>
    </row>
    <row r="47">
      <c r="A47" s="1" t="s">
        <v>59</v>
      </c>
      <c r="B47" s="1" t="s">
        <v>60</v>
      </c>
      <c r="C47" s="1" t="s">
        <v>61</v>
      </c>
      <c r="D47" s="1" t="s">
        <v>62</v>
      </c>
      <c r="E47" s="1" t="s">
        <v>63</v>
      </c>
    </row>
    <row r="48">
      <c r="A48" s="8" t="s">
        <v>64</v>
      </c>
      <c r="B48" s="20" t="s">
        <v>65</v>
      </c>
      <c r="C48" s="8" t="s">
        <v>66</v>
      </c>
      <c r="D48" s="8" t="s">
        <v>67</v>
      </c>
      <c r="E48" s="8" t="s">
        <v>68</v>
      </c>
    </row>
    <row r="49">
      <c r="A49" s="8" t="s">
        <v>69</v>
      </c>
      <c r="B49" s="20" t="s">
        <v>70</v>
      </c>
      <c r="C49" s="8" t="s">
        <v>71</v>
      </c>
      <c r="D49" s="8" t="s">
        <v>72</v>
      </c>
      <c r="E49" s="8" t="s">
        <v>73</v>
      </c>
    </row>
    <row r="50">
      <c r="A50" s="8" t="s">
        <v>74</v>
      </c>
      <c r="B50" s="20" t="s">
        <v>75</v>
      </c>
      <c r="C50" s="8" t="s">
        <v>76</v>
      </c>
      <c r="D50" s="8" t="s">
        <v>77</v>
      </c>
      <c r="E50" s="8" t="s">
        <v>78</v>
      </c>
      <c r="F50" s="8" t="s">
        <v>79</v>
      </c>
    </row>
    <row r="51">
      <c r="A51" s="8" t="s">
        <v>80</v>
      </c>
      <c r="B51" s="20" t="s">
        <v>81</v>
      </c>
      <c r="C51" s="8" t="s">
        <v>82</v>
      </c>
      <c r="D51" s="21" t="s">
        <v>83</v>
      </c>
      <c r="E51" s="8" t="s">
        <v>84</v>
      </c>
    </row>
    <row r="52">
      <c r="A52" s="8" t="s">
        <v>85</v>
      </c>
      <c r="B52" s="20" t="s">
        <v>86</v>
      </c>
      <c r="C52" s="8" t="s">
        <v>87</v>
      </c>
      <c r="D52" s="21" t="s">
        <v>88</v>
      </c>
      <c r="E52" s="8" t="s">
        <v>89</v>
      </c>
    </row>
    <row r="53">
      <c r="A53" s="22" t="s">
        <v>90</v>
      </c>
      <c r="B53" s="23">
        <v>6.0</v>
      </c>
      <c r="C53" s="22" t="s">
        <v>91</v>
      </c>
      <c r="D53" s="8" t="s">
        <v>77</v>
      </c>
      <c r="E53" s="22" t="s">
        <v>92</v>
      </c>
    </row>
    <row r="54">
      <c r="A54" s="8" t="s">
        <v>93</v>
      </c>
      <c r="B54" s="20" t="s">
        <v>94</v>
      </c>
      <c r="C54" s="8" t="s">
        <v>95</v>
      </c>
      <c r="D54" s="8" t="s">
        <v>96</v>
      </c>
      <c r="E54" s="8" t="s">
        <v>97</v>
      </c>
    </row>
    <row r="55">
      <c r="A55" s="8" t="s">
        <v>98</v>
      </c>
      <c r="B55" s="20" t="s">
        <v>99</v>
      </c>
      <c r="C55" s="8" t="s">
        <v>100</v>
      </c>
      <c r="D55" s="21" t="s">
        <v>101</v>
      </c>
      <c r="E55" s="8" t="s">
        <v>102</v>
      </c>
    </row>
    <row r="60">
      <c r="A60" s="2" t="s">
        <v>103</v>
      </c>
    </row>
    <row r="61">
      <c r="A61" s="1" t="s">
        <v>104</v>
      </c>
      <c r="B61" s="1" t="s">
        <v>105</v>
      </c>
    </row>
    <row r="62">
      <c r="A62" s="8" t="s">
        <v>106</v>
      </c>
      <c r="B62" s="8" t="s">
        <v>107</v>
      </c>
    </row>
    <row r="63">
      <c r="A63" s="8" t="s">
        <v>39</v>
      </c>
      <c r="B63" s="8" t="s">
        <v>108</v>
      </c>
    </row>
    <row r="64">
      <c r="A64" s="8" t="s">
        <v>109</v>
      </c>
      <c r="B64" s="8" t="s">
        <v>110</v>
      </c>
    </row>
    <row r="65">
      <c r="A65" s="8" t="s">
        <v>111</v>
      </c>
      <c r="B65" s="8" t="s">
        <v>112</v>
      </c>
    </row>
    <row r="66">
      <c r="A66" s="8" t="s">
        <v>113</v>
      </c>
      <c r="B66" s="8" t="s">
        <v>114</v>
      </c>
    </row>
    <row r="67">
      <c r="A67" s="8" t="s">
        <v>115</v>
      </c>
      <c r="B67" s="8" t="s">
        <v>116</v>
      </c>
    </row>
    <row r="68">
      <c r="A68" s="8" t="s">
        <v>117</v>
      </c>
      <c r="B68" s="8" t="s">
        <v>118</v>
      </c>
    </row>
    <row r="69">
      <c r="A69" s="8" t="s">
        <v>119</v>
      </c>
      <c r="B69" s="8" t="s">
        <v>120</v>
      </c>
    </row>
    <row r="70">
      <c r="A70" s="8" t="s">
        <v>121</v>
      </c>
      <c r="B70" s="8" t="s">
        <v>122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3" max="3" width="12.0"/>
    <col customWidth="1" min="4" max="4" width="4.63"/>
    <col customWidth="1" min="5" max="5" width="15.13"/>
    <col customWidth="1" min="6" max="6" width="16.75"/>
    <col customWidth="1" min="7" max="7" width="7.25"/>
    <col customWidth="1" min="8" max="8" width="12.5"/>
    <col customWidth="1" min="10" max="10" width="31.38"/>
  </cols>
  <sheetData>
    <row r="2">
      <c r="A2" s="8" t="s">
        <v>123</v>
      </c>
      <c r="I2" s="24" t="s">
        <v>124</v>
      </c>
    </row>
    <row r="3">
      <c r="A3" s="8" t="s">
        <v>125</v>
      </c>
      <c r="B3" s="11" t="s">
        <v>60</v>
      </c>
      <c r="C3" s="25" t="s">
        <v>126</v>
      </c>
      <c r="D3" s="25" t="s">
        <v>127</v>
      </c>
      <c r="E3" s="25" t="s">
        <v>128</v>
      </c>
      <c r="F3" s="25" t="s">
        <v>129</v>
      </c>
      <c r="G3" s="25" t="s">
        <v>130</v>
      </c>
      <c r="H3" s="25" t="s">
        <v>131</v>
      </c>
      <c r="I3" s="26" t="s">
        <v>132</v>
      </c>
    </row>
    <row r="4">
      <c r="A4" s="8" t="s">
        <v>133</v>
      </c>
      <c r="B4" s="6">
        <v>1.0</v>
      </c>
      <c r="C4" s="6">
        <v>0.0</v>
      </c>
      <c r="D4" s="6">
        <v>0.6</v>
      </c>
      <c r="E4" s="6">
        <v>0.0</v>
      </c>
      <c r="F4" s="6">
        <v>0.0</v>
      </c>
      <c r="G4" s="6">
        <v>0.0</v>
      </c>
      <c r="H4" s="6">
        <v>0.0</v>
      </c>
      <c r="I4" s="27">
        <f t="shared" ref="I4:I18" si="1">C4-D4-E4-F4-G4-H4</f>
        <v>-0.6</v>
      </c>
      <c r="J4" s="8" t="s">
        <v>134</v>
      </c>
    </row>
    <row r="5">
      <c r="A5" s="8" t="s">
        <v>135</v>
      </c>
      <c r="B5" s="6">
        <v>2.0</v>
      </c>
      <c r="C5" s="6">
        <v>0.0</v>
      </c>
      <c r="D5" s="6">
        <v>1.2</v>
      </c>
      <c r="E5" s="6">
        <v>0.0</v>
      </c>
      <c r="F5" s="6">
        <v>0.0</v>
      </c>
      <c r="G5" s="6">
        <v>0.0</v>
      </c>
      <c r="H5" s="6">
        <v>0.0</v>
      </c>
      <c r="I5" s="27">
        <f t="shared" si="1"/>
        <v>-1.2</v>
      </c>
      <c r="J5" s="8" t="s">
        <v>136</v>
      </c>
    </row>
    <row r="6">
      <c r="A6" s="8" t="s">
        <v>137</v>
      </c>
      <c r="B6" s="6">
        <v>3.0</v>
      </c>
      <c r="C6" s="6">
        <v>3.0</v>
      </c>
      <c r="D6" s="6">
        <v>2.4</v>
      </c>
      <c r="E6" s="6">
        <v>0.1</v>
      </c>
      <c r="F6" s="6">
        <v>0.2</v>
      </c>
      <c r="G6" s="6">
        <v>0.0</v>
      </c>
      <c r="H6" s="6">
        <v>0.0</v>
      </c>
      <c r="I6" s="27">
        <f t="shared" si="1"/>
        <v>0.3</v>
      </c>
      <c r="J6" s="8" t="s">
        <v>138</v>
      </c>
    </row>
    <row r="7">
      <c r="A7" s="8" t="s">
        <v>139</v>
      </c>
      <c r="B7" s="6">
        <v>4.0</v>
      </c>
      <c r="C7" s="6">
        <v>10.0</v>
      </c>
      <c r="D7" s="6">
        <v>4.5</v>
      </c>
      <c r="E7" s="6">
        <v>0.2</v>
      </c>
      <c r="F7" s="6">
        <v>0.3</v>
      </c>
      <c r="G7" s="6">
        <v>0.0</v>
      </c>
      <c r="H7" s="6">
        <v>0.0</v>
      </c>
      <c r="I7" s="27">
        <f t="shared" si="1"/>
        <v>5</v>
      </c>
      <c r="J7" s="8" t="s">
        <v>140</v>
      </c>
    </row>
    <row r="8">
      <c r="A8" s="8" t="s">
        <v>141</v>
      </c>
      <c r="B8" s="6">
        <v>5.0</v>
      </c>
      <c r="C8" s="6">
        <v>20.0</v>
      </c>
      <c r="D8" s="6">
        <v>6.5</v>
      </c>
      <c r="E8" s="6">
        <v>0.3</v>
      </c>
      <c r="F8" s="6">
        <v>0.5</v>
      </c>
      <c r="G8" s="6">
        <v>0.3</v>
      </c>
      <c r="H8" s="6">
        <v>0.0</v>
      </c>
      <c r="I8" s="27">
        <f t="shared" si="1"/>
        <v>12.4</v>
      </c>
      <c r="J8" s="8" t="s">
        <v>142</v>
      </c>
    </row>
    <row r="9">
      <c r="B9" s="6">
        <v>6.0</v>
      </c>
      <c r="C9" s="6">
        <v>28.0</v>
      </c>
      <c r="D9" s="6">
        <v>8.5</v>
      </c>
      <c r="E9" s="6">
        <v>0.4</v>
      </c>
      <c r="F9" s="6">
        <v>0.5</v>
      </c>
      <c r="G9" s="6">
        <v>0.6</v>
      </c>
      <c r="H9" s="6">
        <v>0.0</v>
      </c>
      <c r="I9" s="27">
        <f t="shared" si="1"/>
        <v>18</v>
      </c>
      <c r="J9" s="8" t="s">
        <v>143</v>
      </c>
    </row>
    <row r="10">
      <c r="B10" s="6">
        <v>7.0</v>
      </c>
      <c r="C10" s="6">
        <v>34.0</v>
      </c>
      <c r="D10" s="6">
        <v>10.0</v>
      </c>
      <c r="E10" s="6">
        <v>0.5</v>
      </c>
      <c r="F10" s="6">
        <v>0.5</v>
      </c>
      <c r="G10" s="6">
        <v>0.9</v>
      </c>
      <c r="H10" s="6">
        <v>0.0</v>
      </c>
      <c r="I10" s="27">
        <f t="shared" si="1"/>
        <v>22.1</v>
      </c>
      <c r="J10" s="8" t="s">
        <v>144</v>
      </c>
    </row>
    <row r="11">
      <c r="B11" s="6">
        <v>8.0</v>
      </c>
      <c r="C11" s="6">
        <v>38.0</v>
      </c>
      <c r="D11" s="6">
        <v>11.5</v>
      </c>
      <c r="E11" s="6">
        <v>0.6</v>
      </c>
      <c r="F11" s="6">
        <v>0.6</v>
      </c>
      <c r="G11" s="6">
        <v>1.2</v>
      </c>
      <c r="H11" s="6">
        <v>0.0</v>
      </c>
      <c r="I11" s="27">
        <f t="shared" si="1"/>
        <v>24.1</v>
      </c>
      <c r="J11" s="8" t="s">
        <v>145</v>
      </c>
    </row>
    <row r="12">
      <c r="B12" s="6">
        <v>9.0</v>
      </c>
      <c r="C12" s="6">
        <v>40.0</v>
      </c>
      <c r="D12" s="6">
        <v>12.0</v>
      </c>
      <c r="E12" s="6">
        <v>0.7</v>
      </c>
      <c r="F12" s="6">
        <v>0.6</v>
      </c>
      <c r="G12" s="6">
        <v>1.4</v>
      </c>
      <c r="H12" s="6">
        <v>0.0</v>
      </c>
      <c r="I12" s="27">
        <f t="shared" si="1"/>
        <v>25.3</v>
      </c>
      <c r="J12" s="8" t="s">
        <v>146</v>
      </c>
    </row>
    <row r="13">
      <c r="B13" s="6">
        <v>10.0</v>
      </c>
      <c r="C13" s="6">
        <v>38.0</v>
      </c>
      <c r="D13" s="6">
        <v>12.0</v>
      </c>
      <c r="E13" s="6">
        <v>1.2</v>
      </c>
      <c r="F13" s="6">
        <v>0.6</v>
      </c>
      <c r="G13" s="6">
        <v>1.4</v>
      </c>
      <c r="H13" s="6">
        <v>0.0</v>
      </c>
      <c r="I13" s="27">
        <f t="shared" si="1"/>
        <v>22.8</v>
      </c>
      <c r="J13" s="8" t="s">
        <v>147</v>
      </c>
    </row>
    <row r="14">
      <c r="B14" s="6">
        <v>11.0</v>
      </c>
      <c r="C14" s="6">
        <v>35.0</v>
      </c>
      <c r="D14" s="6">
        <v>11.5</v>
      </c>
      <c r="E14" s="6">
        <v>0.8</v>
      </c>
      <c r="F14" s="6">
        <v>0.5</v>
      </c>
      <c r="G14" s="6">
        <v>1.2</v>
      </c>
      <c r="H14" s="6">
        <v>0.0</v>
      </c>
      <c r="I14" s="27">
        <f t="shared" si="1"/>
        <v>21</v>
      </c>
      <c r="J14" s="8" t="s">
        <v>148</v>
      </c>
    </row>
    <row r="15">
      <c r="B15" s="6">
        <v>12.0</v>
      </c>
      <c r="C15" s="6">
        <v>33.0</v>
      </c>
      <c r="D15" s="6">
        <v>11.0</v>
      </c>
      <c r="E15" s="6">
        <v>0.8</v>
      </c>
      <c r="F15" s="6">
        <v>0.4</v>
      </c>
      <c r="G15" s="6">
        <v>1.1</v>
      </c>
      <c r="H15" s="6">
        <v>0.0</v>
      </c>
      <c r="I15" s="27">
        <f t="shared" si="1"/>
        <v>19.7</v>
      </c>
      <c r="J15" s="8" t="s">
        <v>149</v>
      </c>
    </row>
    <row r="16">
      <c r="B16" s="6">
        <v>13.0</v>
      </c>
      <c r="C16" s="6">
        <v>30.0</v>
      </c>
      <c r="D16" s="6">
        <v>10.5</v>
      </c>
      <c r="E16" s="6">
        <v>0.9</v>
      </c>
      <c r="F16" s="6">
        <v>0.3</v>
      </c>
      <c r="G16" s="6">
        <v>0.9</v>
      </c>
      <c r="H16" s="6">
        <v>0.0</v>
      </c>
      <c r="I16" s="27">
        <f t="shared" si="1"/>
        <v>17.4</v>
      </c>
      <c r="J16" s="8" t="s">
        <v>150</v>
      </c>
    </row>
    <row r="17">
      <c r="B17" s="6">
        <v>14.0</v>
      </c>
      <c r="C17" s="6">
        <v>27.0</v>
      </c>
      <c r="D17" s="6">
        <v>10.0</v>
      </c>
      <c r="E17" s="6">
        <v>0.8</v>
      </c>
      <c r="F17" s="6">
        <v>0.2</v>
      </c>
      <c r="G17" s="6">
        <v>0.8</v>
      </c>
      <c r="H17" s="6">
        <v>0.0</v>
      </c>
      <c r="I17" s="27">
        <f t="shared" si="1"/>
        <v>15.2</v>
      </c>
      <c r="J17" s="8" t="s">
        <v>151</v>
      </c>
    </row>
    <row r="18">
      <c r="B18" s="6">
        <v>15.0</v>
      </c>
      <c r="C18" s="6">
        <v>24.0</v>
      </c>
      <c r="D18" s="6">
        <v>9.5</v>
      </c>
      <c r="E18" s="6">
        <v>0.6</v>
      </c>
      <c r="F18" s="6">
        <v>0.2</v>
      </c>
      <c r="G18" s="6">
        <v>0.7</v>
      </c>
      <c r="H18" s="6">
        <v>0.0</v>
      </c>
      <c r="I18" s="27">
        <f t="shared" si="1"/>
        <v>13</v>
      </c>
      <c r="J18" s="8" t="s">
        <v>152</v>
      </c>
    </row>
    <row r="19">
      <c r="C19" s="28">
        <f>SUM(C4:C18)</f>
        <v>360</v>
      </c>
      <c r="I19" s="28">
        <f>SUM(I4:I18)</f>
        <v>214.5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0.13"/>
    <col customWidth="1" min="4" max="4" width="22.75"/>
    <col customWidth="1" min="5" max="5" width="11.88"/>
    <col customWidth="1" min="6" max="7" width="10.63"/>
    <col customWidth="1" min="8" max="8" width="12.63"/>
    <col customWidth="1" min="9" max="9" width="9.38"/>
    <col customWidth="1" min="10" max="10" width="20.13"/>
    <col customWidth="1" min="11" max="11" width="12.38"/>
    <col customWidth="1" min="12" max="12" width="19.88"/>
    <col customWidth="1" min="13" max="13" width="30.5"/>
    <col customWidth="1" min="14" max="14" width="14.88"/>
  </cols>
  <sheetData>
    <row r="2">
      <c r="B2" s="11" t="s">
        <v>60</v>
      </c>
      <c r="C2" s="11" t="s">
        <v>153</v>
      </c>
      <c r="D2" s="29" t="s">
        <v>154</v>
      </c>
      <c r="E2" s="29" t="s">
        <v>155</v>
      </c>
      <c r="F2" s="29" t="s">
        <v>156</v>
      </c>
      <c r="G2" s="29" t="s">
        <v>157</v>
      </c>
      <c r="H2" s="29" t="s">
        <v>158</v>
      </c>
      <c r="I2" s="29" t="s">
        <v>159</v>
      </c>
      <c r="J2" s="30" t="s">
        <v>160</v>
      </c>
      <c r="K2" s="31" t="s">
        <v>161</v>
      </c>
      <c r="N2" s="32" t="s">
        <v>5</v>
      </c>
      <c r="O2" s="32" t="s">
        <v>162</v>
      </c>
      <c r="P2" s="32" t="s">
        <v>163</v>
      </c>
      <c r="Q2" s="32" t="s">
        <v>164</v>
      </c>
      <c r="R2" s="32" t="s">
        <v>165</v>
      </c>
      <c r="S2" s="32" t="s">
        <v>57</v>
      </c>
    </row>
    <row r="3">
      <c r="B3" s="33">
        <v>1.0</v>
      </c>
      <c r="C3" s="6">
        <f>CFADS!I4</f>
        <v>-0.6</v>
      </c>
      <c r="D3" s="34">
        <f>Sculpted_Waterfall!E2</f>
        <v>2.592</v>
      </c>
      <c r="E3" s="34">
        <f>Sculpted_Waterfall!S2</f>
        <v>0</v>
      </c>
      <c r="F3" s="34">
        <f>Sculpted_Waterfall!F2</f>
        <v>1.53</v>
      </c>
      <c r="G3" s="34">
        <f>Sculpted_Waterfall!T2</f>
        <v>0</v>
      </c>
      <c r="H3" s="34">
        <f>Sculpted_Waterfall!G2</f>
        <v>1.188</v>
      </c>
      <c r="I3" s="34">
        <f>Sculpted_Waterfall!U2</f>
        <v>0</v>
      </c>
      <c r="J3" s="35">
        <f t="shared" ref="J3:J17" si="1">SUM(D3:I3)</f>
        <v>5.31</v>
      </c>
      <c r="K3" s="36">
        <f t="shared" ref="K3:K17" si="2">C3/J3</f>
        <v>-0.1129943503</v>
      </c>
      <c r="L3" s="8" t="s">
        <v>166</v>
      </c>
      <c r="N3" s="37">
        <v>1.45</v>
      </c>
      <c r="O3" s="38">
        <f t="shared" ref="O3:O13" si="3">C3-(D3+F3+H3)</f>
        <v>-5.91</v>
      </c>
      <c r="P3" s="20">
        <v>0.0</v>
      </c>
      <c r="Q3" s="39">
        <f t="shared" ref="Q3:Q13" si="4">P3*0.7</f>
        <v>0</v>
      </c>
      <c r="R3" s="39">
        <f t="shared" ref="R3:R13" si="5">P3*0.23</f>
        <v>0</v>
      </c>
      <c r="S3" s="39">
        <f t="shared" ref="S3:S13" si="6">P3*0.07</f>
        <v>0</v>
      </c>
    </row>
    <row r="4">
      <c r="B4" s="33">
        <v>2.0</v>
      </c>
      <c r="C4" s="6">
        <f>CFADS!I5</f>
        <v>-1.2</v>
      </c>
      <c r="D4" s="34">
        <f>Sculpted_Waterfall!E3</f>
        <v>2.592</v>
      </c>
      <c r="E4" s="34">
        <f>Sculpted_Waterfall!S3</f>
        <v>0</v>
      </c>
      <c r="F4" s="34">
        <f>Sculpted_Waterfall!F3</f>
        <v>1.53</v>
      </c>
      <c r="G4" s="34">
        <f>Sculpted_Waterfall!T3</f>
        <v>0</v>
      </c>
      <c r="H4" s="34">
        <f>Sculpted_Waterfall!G3</f>
        <v>1.188</v>
      </c>
      <c r="I4" s="34">
        <f>Sculpted_Waterfall!U3</f>
        <v>0</v>
      </c>
      <c r="J4" s="35">
        <f t="shared" si="1"/>
        <v>5.31</v>
      </c>
      <c r="K4" s="36">
        <f t="shared" si="2"/>
        <v>-0.2259887006</v>
      </c>
      <c r="L4" s="8" t="s">
        <v>167</v>
      </c>
      <c r="N4" s="37">
        <v>1.45</v>
      </c>
      <c r="O4" s="38">
        <f t="shared" si="3"/>
        <v>-6.51</v>
      </c>
      <c r="P4" s="40">
        <f>C4/'Params (waterfall only)'!$B$10-(D4+F4+H4)</f>
        <v>-6.137586207</v>
      </c>
      <c r="Q4" s="39">
        <f t="shared" si="4"/>
        <v>-4.296310345</v>
      </c>
      <c r="R4" s="39">
        <f t="shared" si="5"/>
        <v>-1.411644828</v>
      </c>
      <c r="S4" s="39">
        <f t="shared" si="6"/>
        <v>-0.4296310345</v>
      </c>
    </row>
    <row r="5">
      <c r="B5" s="33">
        <v>3.0</v>
      </c>
      <c r="C5" s="6">
        <f>CFADS!I6</f>
        <v>0.3</v>
      </c>
      <c r="D5" s="34">
        <f>Sculpted_Waterfall!E4</f>
        <v>2.592</v>
      </c>
      <c r="E5" s="34">
        <f>Sculpted_Waterfall!S4</f>
        <v>0</v>
      </c>
      <c r="F5" s="34">
        <f>Sculpted_Waterfall!F4</f>
        <v>1.53</v>
      </c>
      <c r="G5" s="34">
        <f>Sculpted_Waterfall!T4</f>
        <v>0</v>
      </c>
      <c r="H5" s="34">
        <f>Sculpted_Waterfall!G4</f>
        <v>1.188</v>
      </c>
      <c r="I5" s="34">
        <f>Sculpted_Waterfall!U4</f>
        <v>0</v>
      </c>
      <c r="J5" s="35">
        <f t="shared" si="1"/>
        <v>5.31</v>
      </c>
      <c r="K5" s="36">
        <f t="shared" si="2"/>
        <v>0.05649717514</v>
      </c>
      <c r="L5" s="8" t="s">
        <v>168</v>
      </c>
      <c r="N5" s="37">
        <v>1.45</v>
      </c>
      <c r="O5" s="38">
        <f t="shared" si="3"/>
        <v>-5.01</v>
      </c>
      <c r="P5" s="40">
        <f>C5/'Params (waterfall only)'!$B$10-(D5+F5+H5)</f>
        <v>-5.103103448</v>
      </c>
      <c r="Q5" s="39">
        <f t="shared" si="4"/>
        <v>-3.572172414</v>
      </c>
      <c r="R5" s="39">
        <f t="shared" si="5"/>
        <v>-1.173713793</v>
      </c>
      <c r="S5" s="39">
        <f t="shared" si="6"/>
        <v>-0.3572172414</v>
      </c>
    </row>
    <row r="6">
      <c r="B6" s="33">
        <v>4.0</v>
      </c>
      <c r="C6" s="6">
        <f>CFADS!I7</f>
        <v>5</v>
      </c>
      <c r="D6" s="34">
        <f>Sculpted_Waterfall!E5</f>
        <v>2.592</v>
      </c>
      <c r="E6" s="34">
        <f>Sculpted_Waterfall!S5</f>
        <v>0</v>
      </c>
      <c r="F6" s="34">
        <f>Sculpted_Waterfall!F5</f>
        <v>1.53</v>
      </c>
      <c r="G6" s="34">
        <f>Sculpted_Waterfall!T5</f>
        <v>0</v>
      </c>
      <c r="H6" s="34">
        <f>Sculpted_Waterfall!G5</f>
        <v>1.188</v>
      </c>
      <c r="I6" s="34">
        <f>Sculpted_Waterfall!U5</f>
        <v>0</v>
      </c>
      <c r="J6" s="35">
        <f t="shared" si="1"/>
        <v>5.31</v>
      </c>
      <c r="K6" s="36">
        <f t="shared" si="2"/>
        <v>0.9416195857</v>
      </c>
      <c r="L6" s="8" t="s">
        <v>169</v>
      </c>
      <c r="M6" s="8" t="s">
        <v>170</v>
      </c>
      <c r="N6" s="37">
        <v>1.45</v>
      </c>
      <c r="O6" s="38">
        <f t="shared" si="3"/>
        <v>-0.31</v>
      </c>
      <c r="P6" s="40">
        <f>C6/'Params (waterfall only)'!$B$10-(D6+F6+H6)</f>
        <v>-1.861724138</v>
      </c>
      <c r="Q6" s="39">
        <f t="shared" si="4"/>
        <v>-1.303206897</v>
      </c>
      <c r="R6" s="39">
        <f t="shared" si="5"/>
        <v>-0.4281965517</v>
      </c>
      <c r="S6" s="39">
        <f t="shared" si="6"/>
        <v>-0.1303206897</v>
      </c>
    </row>
    <row r="7">
      <c r="B7" s="6">
        <v>5.0</v>
      </c>
      <c r="C7" s="6">
        <f>CFADS!I8</f>
        <v>12.4</v>
      </c>
      <c r="D7" s="34">
        <f>Sculpted_Waterfall!E6</f>
        <v>2.592</v>
      </c>
      <c r="E7" s="34">
        <f>Sculpted_Waterfall!S6</f>
        <v>2.269206897</v>
      </c>
      <c r="F7" s="34">
        <f>Sculpted_Waterfall!F6</f>
        <v>1.53</v>
      </c>
      <c r="G7" s="34">
        <f>Sculpted_Waterfall!T6</f>
        <v>0.7455965517</v>
      </c>
      <c r="H7" s="34">
        <f>Sculpted_Waterfall!G6</f>
        <v>1.188</v>
      </c>
      <c r="I7" s="34">
        <f>Sculpted_Waterfall!U6</f>
        <v>0.2269206897</v>
      </c>
      <c r="J7" s="35">
        <f t="shared" si="1"/>
        <v>8.551724138</v>
      </c>
      <c r="K7" s="36">
        <f t="shared" si="2"/>
        <v>1.45</v>
      </c>
      <c r="L7" s="8" t="s">
        <v>171</v>
      </c>
      <c r="N7" s="20">
        <v>1.45</v>
      </c>
      <c r="O7" s="38">
        <f t="shared" si="3"/>
        <v>7.09</v>
      </c>
      <c r="P7" s="40">
        <f>C7/'Params (waterfall only)'!$B$10-(D7+F7+H7)</f>
        <v>3.241724138</v>
      </c>
      <c r="Q7" s="40">
        <f t="shared" si="4"/>
        <v>2.269206897</v>
      </c>
      <c r="R7" s="40">
        <f t="shared" si="5"/>
        <v>0.7455965517</v>
      </c>
      <c r="S7" s="40">
        <f t="shared" si="6"/>
        <v>0.2269206897</v>
      </c>
    </row>
    <row r="8">
      <c r="B8" s="6">
        <v>6.0</v>
      </c>
      <c r="C8" s="6">
        <f>CFADS!I9</f>
        <v>18</v>
      </c>
      <c r="D8" s="34">
        <f>Sculpted_Waterfall!E7</f>
        <v>2.455847586</v>
      </c>
      <c r="E8" s="34">
        <f>Sculpted_Waterfall!S7</f>
        <v>5.12979775</v>
      </c>
      <c r="F8" s="34">
        <f>Sculpted_Waterfall!F7</f>
        <v>1.466624293</v>
      </c>
      <c r="G8" s="34">
        <f>Sculpted_Waterfall!T7</f>
        <v>1.685504975</v>
      </c>
      <c r="H8" s="34">
        <f>Sculpted_Waterfall!G7</f>
        <v>1.163038724</v>
      </c>
      <c r="I8" s="34">
        <f>Sculpted_Waterfall!U7</f>
        <v>0.512979775</v>
      </c>
      <c r="J8" s="35">
        <f t="shared" si="1"/>
        <v>12.4137931</v>
      </c>
      <c r="K8" s="36">
        <f t="shared" si="2"/>
        <v>1.45</v>
      </c>
      <c r="L8" s="8" t="s">
        <v>172</v>
      </c>
      <c r="M8" s="8" t="s">
        <v>173</v>
      </c>
      <c r="N8" s="20">
        <v>1.45</v>
      </c>
      <c r="O8" s="38">
        <f t="shared" si="3"/>
        <v>12.9144894</v>
      </c>
      <c r="P8" s="40">
        <f>C8/'Params (waterfall only)'!$B$10-(D8+F8+H8)</f>
        <v>7.3282825</v>
      </c>
      <c r="Q8" s="40">
        <f t="shared" si="4"/>
        <v>5.12979775</v>
      </c>
      <c r="R8" s="40">
        <f t="shared" si="5"/>
        <v>1.685504975</v>
      </c>
      <c r="S8" s="40">
        <f t="shared" si="6"/>
        <v>0.512979775</v>
      </c>
    </row>
    <row r="9">
      <c r="B9" s="6">
        <v>7.0</v>
      </c>
      <c r="C9" s="6">
        <f>CFADS!I10</f>
        <v>22.1</v>
      </c>
      <c r="D9" s="34">
        <f>Sculpted_Waterfall!E8</f>
        <v>2.148059721</v>
      </c>
      <c r="E9" s="34">
        <f>Sculpted_Waterfall!S8</f>
        <v>7.464346589</v>
      </c>
      <c r="F9" s="34">
        <f>Sculpted_Waterfall!F8</f>
        <v>1.32335637</v>
      </c>
      <c r="G9" s="34">
        <f>Sculpted_Waterfall!T8</f>
        <v>2.452571022</v>
      </c>
      <c r="H9" s="34">
        <f>Sculpted_Waterfall!G8</f>
        <v>1.106610949</v>
      </c>
      <c r="I9" s="34">
        <f>Sculpted_Waterfall!U8</f>
        <v>0.7464346589</v>
      </c>
      <c r="J9" s="35">
        <f t="shared" si="1"/>
        <v>15.24137931</v>
      </c>
      <c r="K9" s="36">
        <f t="shared" si="2"/>
        <v>1.45</v>
      </c>
      <c r="L9" s="8" t="s">
        <v>174</v>
      </c>
      <c r="N9" s="20">
        <v>1.45</v>
      </c>
      <c r="O9" s="38">
        <f t="shared" si="3"/>
        <v>17.52197296</v>
      </c>
      <c r="P9" s="40">
        <f>C9/'Params (waterfall only)'!$B$10-(D9+F9+H9)</f>
        <v>10.66335227</v>
      </c>
      <c r="Q9" s="40">
        <f t="shared" si="4"/>
        <v>7.464346589</v>
      </c>
      <c r="R9" s="40">
        <f t="shared" si="5"/>
        <v>2.452571022</v>
      </c>
      <c r="S9" s="40">
        <f t="shared" si="6"/>
        <v>0.7464346589</v>
      </c>
    </row>
    <row r="10">
      <c r="B10" s="6">
        <v>8.0</v>
      </c>
      <c r="C10" s="6">
        <f>CFADS!I11</f>
        <v>24.1</v>
      </c>
      <c r="D10" s="34">
        <f>Sculpted_Waterfall!E9</f>
        <v>1.700198926</v>
      </c>
      <c r="E10" s="34">
        <f>Sculpted_Waterfall!S9</f>
        <v>8.946769832</v>
      </c>
      <c r="F10" s="34">
        <f>Sculpted_Waterfall!F9</f>
        <v>1.114887833</v>
      </c>
      <c r="G10" s="34">
        <f>Sculpted_Waterfall!T9</f>
        <v>2.939652945</v>
      </c>
      <c r="H10" s="34">
        <f>Sculpted_Waterfall!G9</f>
        <v>1.024503136</v>
      </c>
      <c r="I10" s="34">
        <f>Sculpted_Waterfall!U9</f>
        <v>0.8946769832</v>
      </c>
      <c r="J10" s="35">
        <f t="shared" si="1"/>
        <v>16.62068966</v>
      </c>
      <c r="K10" s="36">
        <f t="shared" si="2"/>
        <v>1.45</v>
      </c>
      <c r="N10" s="20">
        <v>1.45</v>
      </c>
      <c r="O10" s="38">
        <f t="shared" si="3"/>
        <v>20.2604101</v>
      </c>
      <c r="P10" s="40">
        <f>C10/'Params (waterfall only)'!$B$10-(D10+F10+H10)</f>
        <v>12.78109976</v>
      </c>
      <c r="Q10" s="40">
        <f t="shared" si="4"/>
        <v>8.946769832</v>
      </c>
      <c r="R10" s="40">
        <f t="shared" si="5"/>
        <v>2.939652945</v>
      </c>
      <c r="S10" s="40">
        <f t="shared" si="6"/>
        <v>0.8946769832</v>
      </c>
    </row>
    <row r="11">
      <c r="B11" s="6">
        <v>9.0</v>
      </c>
      <c r="C11" s="6">
        <f>CFADS!I12</f>
        <v>25.3</v>
      </c>
      <c r="D11" s="34">
        <f>Sculpted_Waterfall!E10</f>
        <v>1.163392736</v>
      </c>
      <c r="E11" s="34">
        <f>Sculpted_Waterfall!S10</f>
        <v>10.14564399</v>
      </c>
      <c r="F11" s="34">
        <f>Sculpted_Waterfall!F10</f>
        <v>0.8650173331</v>
      </c>
      <c r="G11" s="34">
        <f>Sculpted_Waterfall!T10</f>
        <v>3.333568739</v>
      </c>
      <c r="H11" s="34">
        <f>Sculpted_Waterfall!G10</f>
        <v>0.9260886683</v>
      </c>
      <c r="I11" s="34">
        <f>Sculpted_Waterfall!U10</f>
        <v>1.014564399</v>
      </c>
      <c r="J11" s="35">
        <f t="shared" si="1"/>
        <v>17.44827586</v>
      </c>
      <c r="K11" s="36">
        <f t="shared" si="2"/>
        <v>1.45</v>
      </c>
      <c r="L11" s="8" t="s">
        <v>175</v>
      </c>
      <c r="N11" s="20">
        <v>1.45</v>
      </c>
      <c r="O11" s="38">
        <f t="shared" si="3"/>
        <v>22.34550126</v>
      </c>
      <c r="P11" s="40">
        <f>C11/'Params (waterfall only)'!$B$10-(D11+F11+H11)</f>
        <v>14.49377712</v>
      </c>
      <c r="Q11" s="40">
        <f t="shared" si="4"/>
        <v>10.14564399</v>
      </c>
      <c r="R11" s="40">
        <f t="shared" si="5"/>
        <v>3.333568739</v>
      </c>
      <c r="S11" s="40">
        <f t="shared" si="6"/>
        <v>1.014564399</v>
      </c>
    </row>
    <row r="12">
      <c r="B12" s="6">
        <v>10.0</v>
      </c>
      <c r="C12" s="6">
        <f>CFADS!I13</f>
        <v>22.8</v>
      </c>
      <c r="D12" s="34">
        <f>Sculpted_Waterfall!E11</f>
        <v>0.5546540967</v>
      </c>
      <c r="E12" s="34">
        <f>Sculpted_Waterfall!S11</f>
        <v>9.244234945</v>
      </c>
      <c r="F12" s="34">
        <f>Sculpted_Waterfall!F11</f>
        <v>0.5816639903</v>
      </c>
      <c r="G12" s="34">
        <f>Sculpted_Waterfall!T11</f>
        <v>3.564964986</v>
      </c>
      <c r="H12" s="34">
        <f>Sculpted_Waterfall!G11</f>
        <v>0.8144865844</v>
      </c>
      <c r="I12" s="34">
        <f>Sculpted_Waterfall!U11</f>
        <v>0.9641333282</v>
      </c>
      <c r="J12" s="35">
        <f t="shared" si="1"/>
        <v>15.72413793</v>
      </c>
      <c r="K12" s="36">
        <f t="shared" si="2"/>
        <v>1.45</v>
      </c>
      <c r="N12" s="20">
        <v>1.45</v>
      </c>
      <c r="O12" s="38">
        <f t="shared" si="3"/>
        <v>20.84919533</v>
      </c>
      <c r="P12" s="40">
        <f>C12/'Params (waterfall only)'!$B$10-(D12+F12+H12)</f>
        <v>13.77333326</v>
      </c>
      <c r="Q12" s="40">
        <f t="shared" si="4"/>
        <v>9.641333282</v>
      </c>
      <c r="R12" s="40">
        <f t="shared" si="5"/>
        <v>3.16786665</v>
      </c>
      <c r="S12" s="40">
        <f t="shared" si="6"/>
        <v>0.9641333282</v>
      </c>
    </row>
    <row r="13">
      <c r="B13" s="6">
        <v>11.0</v>
      </c>
      <c r="C13" s="6">
        <f>CFADS!I14</f>
        <v>21</v>
      </c>
      <c r="D13" s="34">
        <f>Sculpted_Waterfall!E12</f>
        <v>0</v>
      </c>
      <c r="E13" s="34">
        <f>Sculpted_Waterfall!S12</f>
        <v>0</v>
      </c>
      <c r="F13" s="34">
        <f>Sculpted_Waterfall!F12</f>
        <v>0.2786419664</v>
      </c>
      <c r="G13" s="34">
        <f>Sculpted_Waterfall!T12</f>
        <v>3.278140782</v>
      </c>
      <c r="H13" s="34">
        <f>Sculpted_Waterfall!G12</f>
        <v>0.7084319183</v>
      </c>
      <c r="I13" s="34">
        <f>Sculpted_Waterfall!U12</f>
        <v>6.440290166</v>
      </c>
      <c r="J13" s="35">
        <f t="shared" si="1"/>
        <v>10.70550483</v>
      </c>
      <c r="K13" s="36">
        <f t="shared" si="2"/>
        <v>1.961607633</v>
      </c>
      <c r="L13" s="8" t="s">
        <v>176</v>
      </c>
      <c r="N13" s="20">
        <v>1.45</v>
      </c>
      <c r="O13" s="38">
        <f t="shared" si="3"/>
        <v>20.01292612</v>
      </c>
      <c r="P13" s="40">
        <f>C13/'Params (waterfall only)'!$B$10-(D13+F13+H13)</f>
        <v>13.49568474</v>
      </c>
      <c r="Q13" s="40">
        <f t="shared" si="4"/>
        <v>9.446979315</v>
      </c>
      <c r="R13" s="40">
        <f t="shared" si="5"/>
        <v>3.104007489</v>
      </c>
      <c r="S13" s="40">
        <f t="shared" si="6"/>
        <v>0.9446979315</v>
      </c>
    </row>
    <row r="14">
      <c r="B14" s="6">
        <v>12.0</v>
      </c>
      <c r="C14" s="6">
        <f>CFADS!I15</f>
        <v>19.7</v>
      </c>
      <c r="D14" s="34">
        <f>Sculpted_Waterfall!E13</f>
        <v>0</v>
      </c>
      <c r="E14" s="34">
        <f>Sculpted_Waterfall!S13</f>
        <v>0</v>
      </c>
      <c r="F14" s="34">
        <f>Sculpted_Waterfall!F13</f>
        <v>0</v>
      </c>
      <c r="G14" s="34">
        <f>Sculpted_Waterfall!T13</f>
        <v>0</v>
      </c>
      <c r="H14" s="34">
        <f>Sculpted_Waterfall!G13</f>
        <v>0</v>
      </c>
      <c r="I14" s="34">
        <f>Sculpted_Waterfall!U13</f>
        <v>0</v>
      </c>
      <c r="J14" s="35">
        <f t="shared" si="1"/>
        <v>0</v>
      </c>
      <c r="K14" s="36" t="str">
        <f t="shared" si="2"/>
        <v>#DIV/0!</v>
      </c>
      <c r="N14" s="20">
        <v>1.45</v>
      </c>
      <c r="O14" s="20"/>
      <c r="P14" s="28"/>
      <c r="Q14" s="40"/>
      <c r="R14" s="40"/>
      <c r="S14" s="40"/>
    </row>
    <row r="15">
      <c r="B15" s="6">
        <v>13.0</v>
      </c>
      <c r="C15" s="6">
        <f>CFADS!I16</f>
        <v>17.4</v>
      </c>
      <c r="D15" s="34">
        <f>Sculpted_Waterfall!E14</f>
        <v>0</v>
      </c>
      <c r="E15" s="34">
        <f>Sculpted_Waterfall!S14</f>
        <v>0</v>
      </c>
      <c r="F15" s="34">
        <f>Sculpted_Waterfall!F14</f>
        <v>0</v>
      </c>
      <c r="G15" s="34">
        <f>Sculpted_Waterfall!T14</f>
        <v>0</v>
      </c>
      <c r="H15" s="34">
        <f>Sculpted_Waterfall!G14</f>
        <v>0</v>
      </c>
      <c r="I15" s="34">
        <f>Sculpted_Waterfall!U14</f>
        <v>0</v>
      </c>
      <c r="J15" s="35">
        <f t="shared" si="1"/>
        <v>0</v>
      </c>
      <c r="K15" s="36" t="str">
        <f t="shared" si="2"/>
        <v>#DIV/0!</v>
      </c>
      <c r="L15" s="8" t="s">
        <v>177</v>
      </c>
      <c r="M15" s="8" t="s">
        <v>178</v>
      </c>
      <c r="N15" s="20">
        <v>1.45</v>
      </c>
      <c r="O15" s="20"/>
      <c r="P15" s="28"/>
      <c r="Q15" s="40"/>
      <c r="R15" s="40"/>
      <c r="S15" s="40"/>
    </row>
    <row r="16">
      <c r="B16" s="41">
        <v>14.0</v>
      </c>
      <c r="C16" s="6">
        <f>CFADS!I17</f>
        <v>15.2</v>
      </c>
      <c r="D16" s="34">
        <f>Sculpted_Waterfall!E15</f>
        <v>0</v>
      </c>
      <c r="E16" s="34">
        <f>Sculpted_Waterfall!S15</f>
        <v>0</v>
      </c>
      <c r="F16" s="34">
        <f>Sculpted_Waterfall!F15</f>
        <v>0</v>
      </c>
      <c r="G16" s="34">
        <f>Sculpted_Waterfall!T15</f>
        <v>0</v>
      </c>
      <c r="H16" s="34">
        <f>Sculpted_Waterfall!G15</f>
        <v>0</v>
      </c>
      <c r="I16" s="34">
        <f>Sculpted_Waterfall!U15</f>
        <v>0</v>
      </c>
      <c r="J16" s="35">
        <f t="shared" si="1"/>
        <v>0</v>
      </c>
      <c r="K16" s="36" t="str">
        <f t="shared" si="2"/>
        <v>#DIV/0!</v>
      </c>
      <c r="L16" s="8" t="s">
        <v>179</v>
      </c>
      <c r="N16" s="20">
        <v>1.45</v>
      </c>
      <c r="O16" s="20"/>
      <c r="P16" s="28"/>
      <c r="Q16" s="28"/>
      <c r="R16" s="28"/>
      <c r="S16" s="28"/>
    </row>
    <row r="17">
      <c r="B17" s="41">
        <v>15.0</v>
      </c>
      <c r="C17" s="6">
        <f>CFADS!I18</f>
        <v>13</v>
      </c>
      <c r="D17" s="34">
        <f>Sculpted_Waterfall!E16</f>
        <v>0</v>
      </c>
      <c r="E17" s="34">
        <f>Sculpted_Waterfall!S16</f>
        <v>0</v>
      </c>
      <c r="F17" s="34">
        <f>Sculpted_Waterfall!F16</f>
        <v>0</v>
      </c>
      <c r="G17" s="34">
        <f>Sculpted_Waterfall!T16</f>
        <v>0</v>
      </c>
      <c r="H17" s="34">
        <f>Sculpted_Waterfall!G16</f>
        <v>0</v>
      </c>
      <c r="I17" s="34">
        <f>Sculpted_Waterfall!U16</f>
        <v>0</v>
      </c>
      <c r="J17" s="35">
        <f t="shared" si="1"/>
        <v>0</v>
      </c>
      <c r="K17" s="36" t="str">
        <f t="shared" si="2"/>
        <v>#DIV/0!</v>
      </c>
      <c r="L17" s="8" t="s">
        <v>180</v>
      </c>
      <c r="N17" s="20">
        <v>1.45</v>
      </c>
      <c r="O17" s="20"/>
      <c r="P17" s="28"/>
      <c r="Q17" s="28"/>
      <c r="R17" s="28"/>
      <c r="S17" s="28"/>
    </row>
    <row r="18">
      <c r="D18" s="40">
        <f t="shared" ref="D18:J18" si="7">SUM(D3:D17)</f>
        <v>20.98215307</v>
      </c>
      <c r="E18" s="42">
        <f t="shared" si="7"/>
        <v>43.2</v>
      </c>
      <c r="F18" s="40">
        <f t="shared" si="7"/>
        <v>13.28019179</v>
      </c>
      <c r="G18" s="42">
        <f t="shared" si="7"/>
        <v>18</v>
      </c>
      <c r="H18" s="40">
        <f t="shared" si="7"/>
        <v>11.68315998</v>
      </c>
      <c r="I18" s="42">
        <f t="shared" si="7"/>
        <v>10.8</v>
      </c>
      <c r="J18" s="40">
        <f t="shared" si="7"/>
        <v>117.9455048</v>
      </c>
      <c r="K18" s="28" t="str">
        <f>AVerage(K3:K17)</f>
        <v>#DIV/0!</v>
      </c>
    </row>
    <row r="23">
      <c r="E23" s="1"/>
      <c r="Q23" s="43" t="s">
        <v>181</v>
      </c>
    </row>
    <row r="24">
      <c r="D24" s="20"/>
      <c r="E24" s="20"/>
      <c r="G24" s="20"/>
      <c r="Q24" s="44"/>
    </row>
    <row r="25">
      <c r="D25" s="20"/>
      <c r="E25" s="20"/>
      <c r="G25" s="20"/>
      <c r="Q25" s="43" t="s">
        <v>182</v>
      </c>
    </row>
    <row r="26">
      <c r="D26" s="20"/>
      <c r="E26" s="20"/>
      <c r="G26" s="20"/>
      <c r="Q26" s="44"/>
    </row>
    <row r="27">
      <c r="D27" s="20"/>
      <c r="E27" s="20"/>
      <c r="Q27" s="43" t="s">
        <v>183</v>
      </c>
    </row>
    <row r="28">
      <c r="B28" s="11" t="s">
        <v>184</v>
      </c>
      <c r="C28" s="11" t="s">
        <v>185</v>
      </c>
      <c r="D28" s="11" t="s">
        <v>34</v>
      </c>
      <c r="E28" s="11" t="s">
        <v>35</v>
      </c>
      <c r="F28" s="11" t="s">
        <v>39</v>
      </c>
      <c r="G28" s="11" t="s">
        <v>186</v>
      </c>
      <c r="H28" s="45" t="s">
        <v>187</v>
      </c>
      <c r="I28" s="45" t="s">
        <v>188</v>
      </c>
      <c r="J28" s="45" t="s">
        <v>189</v>
      </c>
      <c r="Q28" s="44"/>
    </row>
    <row r="29">
      <c r="B29" s="6" t="s">
        <v>55</v>
      </c>
      <c r="C29" s="46">
        <f>Intro!A10*Intro!C8</f>
        <v>43.2</v>
      </c>
      <c r="D29" s="6" t="s">
        <v>190</v>
      </c>
      <c r="E29" s="6" t="s">
        <v>191</v>
      </c>
      <c r="F29" s="6" t="s">
        <v>192</v>
      </c>
      <c r="G29" s="6" t="s">
        <v>193</v>
      </c>
      <c r="H29" s="47" t="s">
        <v>194</v>
      </c>
      <c r="I29" s="47" t="s">
        <v>195</v>
      </c>
      <c r="J29" s="47" t="s">
        <v>196</v>
      </c>
      <c r="Q29" s="43" t="s">
        <v>197</v>
      </c>
    </row>
    <row r="30">
      <c r="B30" s="6" t="s">
        <v>198</v>
      </c>
      <c r="C30" s="46">
        <f>Intro!A11*Intro!C8</f>
        <v>18</v>
      </c>
      <c r="D30" s="6" t="s">
        <v>199</v>
      </c>
      <c r="E30" s="6" t="s">
        <v>191</v>
      </c>
      <c r="F30" s="6" t="s">
        <v>200</v>
      </c>
      <c r="G30" s="6" t="s">
        <v>193</v>
      </c>
      <c r="H30" s="47" t="s">
        <v>201</v>
      </c>
      <c r="I30" s="47" t="s">
        <v>202</v>
      </c>
      <c r="J30" s="47" t="s">
        <v>203</v>
      </c>
      <c r="Q30" s="44"/>
    </row>
    <row r="31">
      <c r="B31" s="6" t="s">
        <v>204</v>
      </c>
      <c r="C31" s="46">
        <f>Intro!C8*Intro!A12</f>
        <v>10.8</v>
      </c>
      <c r="D31" s="6" t="s">
        <v>205</v>
      </c>
      <c r="E31" s="6" t="s">
        <v>206</v>
      </c>
      <c r="F31" s="6" t="s">
        <v>207</v>
      </c>
      <c r="G31" s="48"/>
      <c r="H31" s="47" t="s">
        <v>208</v>
      </c>
      <c r="I31" s="47" t="s">
        <v>209</v>
      </c>
      <c r="J31" s="47" t="s">
        <v>210</v>
      </c>
      <c r="Q31" s="43" t="s">
        <v>211</v>
      </c>
    </row>
    <row r="32">
      <c r="D32" s="20"/>
      <c r="E32" s="20"/>
      <c r="Q32" s="44"/>
    </row>
    <row r="33">
      <c r="D33" s="20"/>
      <c r="E33" s="20"/>
      <c r="Q33" s="43" t="s">
        <v>212</v>
      </c>
    </row>
    <row r="34">
      <c r="B34" s="8" t="s">
        <v>213</v>
      </c>
      <c r="D34" s="20"/>
      <c r="E34" s="20"/>
      <c r="Q34" s="44"/>
    </row>
    <row r="35">
      <c r="B35" s="8" t="s">
        <v>214</v>
      </c>
      <c r="D35" s="20"/>
      <c r="E35" s="20"/>
      <c r="Q35" s="43" t="s">
        <v>215</v>
      </c>
    </row>
    <row r="36">
      <c r="B36" s="8" t="s">
        <v>216</v>
      </c>
      <c r="D36" s="20"/>
      <c r="E36" s="20"/>
      <c r="Q36" s="43" t="s">
        <v>217</v>
      </c>
    </row>
    <row r="37">
      <c r="D37" s="20"/>
      <c r="E37" s="20"/>
    </row>
    <row r="38">
      <c r="B38" s="8" t="s">
        <v>218</v>
      </c>
      <c r="D38" s="20"/>
      <c r="E38" s="20"/>
    </row>
    <row r="39">
      <c r="B39" s="8" t="s">
        <v>219</v>
      </c>
    </row>
    <row r="40">
      <c r="B40" s="8" t="s">
        <v>220</v>
      </c>
      <c r="D40" s="49"/>
    </row>
    <row r="41">
      <c r="Q41" s="43" t="s">
        <v>221</v>
      </c>
    </row>
    <row r="42">
      <c r="Q42" s="44"/>
    </row>
    <row r="43">
      <c r="Q43" s="43" t="s">
        <v>182</v>
      </c>
    </row>
    <row r="44">
      <c r="Q44" s="44"/>
    </row>
    <row r="45">
      <c r="Q45" s="43" t="s">
        <v>222</v>
      </c>
    </row>
    <row r="46">
      <c r="Q46" s="44"/>
    </row>
    <row r="47">
      <c r="Q47" s="43" t="s">
        <v>223</v>
      </c>
    </row>
    <row r="48">
      <c r="Q48" s="44"/>
    </row>
    <row r="49">
      <c r="B49" s="43" t="s">
        <v>224</v>
      </c>
      <c r="Q49" s="43" t="s">
        <v>225</v>
      </c>
    </row>
    <row r="50">
      <c r="B50" s="44"/>
      <c r="Q50" s="44"/>
    </row>
    <row r="51">
      <c r="B51" s="43" t="s">
        <v>226</v>
      </c>
      <c r="C51" s="50"/>
      <c r="D51" s="50"/>
      <c r="E51" s="50"/>
      <c r="F51" s="50"/>
      <c r="G51" s="50"/>
      <c r="H51" s="50"/>
      <c r="I51" s="50"/>
      <c r="J51" s="50"/>
      <c r="K51" s="1"/>
      <c r="Q51" s="43" t="s">
        <v>215</v>
      </c>
    </row>
    <row r="52">
      <c r="B52" s="44"/>
      <c r="C52" s="51"/>
      <c r="D52" s="51"/>
      <c r="E52" s="51"/>
      <c r="F52" s="51"/>
      <c r="G52" s="51"/>
      <c r="H52" s="51"/>
      <c r="I52" s="51"/>
      <c r="J52" s="51"/>
      <c r="Q52" s="43" t="s">
        <v>227</v>
      </c>
    </row>
    <row r="53">
      <c r="B53" s="43" t="s">
        <v>228</v>
      </c>
      <c r="C53" s="51"/>
      <c r="D53" s="51"/>
      <c r="E53" s="51"/>
      <c r="F53" s="51"/>
      <c r="G53" s="51"/>
      <c r="H53" s="51"/>
      <c r="I53" s="51"/>
      <c r="J53" s="51"/>
      <c r="Q53" s="43" t="s">
        <v>229</v>
      </c>
    </row>
    <row r="54">
      <c r="B54" s="44"/>
      <c r="C54" s="51"/>
      <c r="D54" s="51"/>
      <c r="E54" s="51"/>
      <c r="F54" s="51"/>
      <c r="G54" s="51"/>
      <c r="H54" s="51"/>
      <c r="I54" s="51"/>
      <c r="J54" s="51"/>
    </row>
    <row r="55">
      <c r="B55" s="43" t="s">
        <v>230</v>
      </c>
      <c r="C55" s="51"/>
      <c r="D55" s="51"/>
      <c r="E55" s="51"/>
      <c r="F55" s="51"/>
      <c r="G55" s="51"/>
      <c r="H55" s="51"/>
      <c r="I55" s="51"/>
      <c r="J55" s="51"/>
    </row>
    <row r="56">
      <c r="B56" s="44"/>
      <c r="C56" s="51"/>
      <c r="D56" s="51"/>
      <c r="E56" s="51"/>
      <c r="F56" s="51"/>
      <c r="G56" s="51"/>
      <c r="H56" s="51"/>
      <c r="I56" s="51"/>
      <c r="J56" s="51"/>
    </row>
    <row r="57">
      <c r="B57" s="43" t="s">
        <v>231</v>
      </c>
      <c r="C57" s="51"/>
      <c r="D57" s="51"/>
      <c r="E57" s="51"/>
      <c r="F57" s="51"/>
      <c r="G57" s="51"/>
      <c r="H57" s="51"/>
      <c r="I57" s="51"/>
      <c r="J57" s="51"/>
      <c r="Q57" s="43" t="s">
        <v>232</v>
      </c>
    </row>
    <row r="58">
      <c r="B58" s="44"/>
      <c r="C58" s="51"/>
      <c r="D58" s="51"/>
      <c r="E58" s="51"/>
      <c r="F58" s="51"/>
      <c r="G58" s="51"/>
      <c r="H58" s="51"/>
      <c r="I58" s="51"/>
      <c r="J58" s="51"/>
      <c r="Q58" s="44"/>
    </row>
    <row r="59">
      <c r="B59" s="43" t="s">
        <v>215</v>
      </c>
      <c r="C59" s="51"/>
      <c r="D59" s="51"/>
      <c r="E59" s="51"/>
      <c r="F59" s="51"/>
      <c r="G59" s="51"/>
      <c r="H59" s="51"/>
      <c r="I59" s="51"/>
      <c r="J59" s="51"/>
      <c r="Q59" s="43" t="s">
        <v>233</v>
      </c>
    </row>
    <row r="60">
      <c r="B60" s="43" t="s">
        <v>234</v>
      </c>
      <c r="C60" s="51"/>
      <c r="D60" s="51"/>
      <c r="E60" s="51"/>
      <c r="F60" s="51"/>
      <c r="G60" s="51"/>
      <c r="H60" s="51"/>
      <c r="I60" s="51"/>
      <c r="J60" s="51"/>
      <c r="Q60" s="44"/>
    </row>
    <row r="61">
      <c r="B61" s="51"/>
      <c r="C61" s="51"/>
      <c r="D61" s="51"/>
      <c r="E61" s="51"/>
      <c r="F61" s="51"/>
      <c r="G61" s="51"/>
      <c r="H61" s="51"/>
      <c r="I61" s="51"/>
      <c r="J61" s="51"/>
      <c r="Q61" s="43" t="s">
        <v>235</v>
      </c>
    </row>
    <row r="62">
      <c r="B62" s="51"/>
      <c r="C62" s="51"/>
      <c r="D62" s="51"/>
      <c r="E62" s="51"/>
      <c r="F62" s="51"/>
      <c r="G62" s="51"/>
      <c r="H62" s="51"/>
      <c r="I62" s="51"/>
      <c r="J62" s="51"/>
      <c r="Q62" s="44"/>
    </row>
    <row r="63">
      <c r="B63" s="51"/>
      <c r="C63" s="51"/>
      <c r="D63" s="51"/>
      <c r="E63" s="51"/>
      <c r="F63" s="51"/>
      <c r="G63" s="51"/>
      <c r="H63" s="51"/>
      <c r="I63" s="51"/>
      <c r="J63" s="51"/>
      <c r="Q63" s="43" t="s">
        <v>236</v>
      </c>
    </row>
    <row r="64">
      <c r="B64" s="51"/>
      <c r="C64" s="51"/>
      <c r="D64" s="51"/>
      <c r="E64" s="51"/>
      <c r="F64" s="51"/>
      <c r="G64" s="51"/>
      <c r="H64" s="51"/>
      <c r="I64" s="51"/>
      <c r="J64" s="43" t="s">
        <v>237</v>
      </c>
      <c r="Q64" s="44"/>
    </row>
    <row r="65">
      <c r="B65" s="51"/>
      <c r="C65" s="51"/>
      <c r="D65" s="51"/>
      <c r="E65" s="51"/>
      <c r="F65" s="51"/>
      <c r="G65" s="51"/>
      <c r="H65" s="51"/>
      <c r="I65" s="51"/>
      <c r="J65" s="44"/>
      <c r="Q65" s="43" t="s">
        <v>231</v>
      </c>
    </row>
    <row r="66">
      <c r="B66" s="51"/>
      <c r="C66" s="51"/>
      <c r="D66" s="51"/>
      <c r="E66" s="51"/>
      <c r="F66" s="51"/>
      <c r="G66" s="51"/>
      <c r="H66" s="51"/>
      <c r="I66" s="51"/>
      <c r="J66" s="43" t="s">
        <v>238</v>
      </c>
    </row>
    <row r="67">
      <c r="C67" s="51"/>
      <c r="D67" s="51"/>
      <c r="E67" s="51"/>
      <c r="F67" s="51"/>
      <c r="G67" s="51"/>
      <c r="H67" s="51"/>
      <c r="I67" s="51"/>
      <c r="J67" s="44"/>
      <c r="Q67" s="43" t="s">
        <v>215</v>
      </c>
    </row>
    <row r="68">
      <c r="J68" s="43" t="s">
        <v>239</v>
      </c>
      <c r="Q68" s="43" t="s">
        <v>240</v>
      </c>
    </row>
    <row r="69">
      <c r="J69" s="44"/>
      <c r="Q69" s="43" t="s">
        <v>241</v>
      </c>
    </row>
    <row r="70">
      <c r="J70" s="43" t="s">
        <v>242</v>
      </c>
    </row>
    <row r="71">
      <c r="J71" s="44"/>
    </row>
    <row r="72">
      <c r="J72" s="43" t="s">
        <v>231</v>
      </c>
    </row>
    <row r="73">
      <c r="J73" s="44"/>
    </row>
    <row r="74">
      <c r="J74" s="43" t="s">
        <v>215</v>
      </c>
    </row>
    <row r="75">
      <c r="J75" s="43" t="s">
        <v>243</v>
      </c>
      <c r="Q75" s="44"/>
    </row>
    <row r="76">
      <c r="J76" s="44"/>
    </row>
    <row r="77">
      <c r="J77" s="43" t="s">
        <v>244</v>
      </c>
    </row>
    <row r="78">
      <c r="J78" s="44"/>
    </row>
    <row r="79">
      <c r="J79" s="43" t="s">
        <v>245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4" max="4" width="16.0"/>
    <col customWidth="1" min="5" max="5" width="31.0"/>
    <col customWidth="1" min="6" max="6" width="26.63"/>
    <col customWidth="1" min="9" max="9" width="32.38"/>
    <col customWidth="1" min="11" max="11" width="41.5"/>
    <col customWidth="1" min="12" max="12" width="24.25"/>
  </cols>
  <sheetData>
    <row r="2">
      <c r="A2" s="20"/>
      <c r="C2" s="11" t="s">
        <v>60</v>
      </c>
      <c r="D2" s="11" t="s">
        <v>153</v>
      </c>
      <c r="E2" s="11" t="s">
        <v>246</v>
      </c>
      <c r="F2" s="11" t="s">
        <v>247</v>
      </c>
      <c r="I2" s="1" t="s">
        <v>248</v>
      </c>
      <c r="J2" s="50" t="s">
        <v>249</v>
      </c>
      <c r="K2" s="1" t="s">
        <v>250</v>
      </c>
      <c r="L2" s="1" t="s">
        <v>251</v>
      </c>
    </row>
    <row r="3">
      <c r="A3" s="20"/>
      <c r="C3" s="6">
        <v>1.0</v>
      </c>
      <c r="D3" s="6">
        <f>CFADS!I4</f>
        <v>-0.6</v>
      </c>
      <c r="E3" s="52">
        <f>1/((1+Intro!$A$28)^C3)</f>
        <v>0.9313154831</v>
      </c>
      <c r="F3" s="53">
        <f t="shared" ref="F3:F17" si="1">D3*E3</f>
        <v>-0.5587892899</v>
      </c>
      <c r="I3" s="8" t="s">
        <v>252</v>
      </c>
      <c r="J3" s="51" t="s">
        <v>253</v>
      </c>
      <c r="K3" s="8" t="s">
        <v>254</v>
      </c>
      <c r="L3" s="8" t="s">
        <v>255</v>
      </c>
    </row>
    <row r="4">
      <c r="C4" s="6">
        <v>2.0</v>
      </c>
      <c r="D4" s="6">
        <f>CFADS!I5</f>
        <v>-1.2</v>
      </c>
      <c r="E4" s="52">
        <f>1/((1+Intro!$A$28)^C4)</f>
        <v>0.8673485291</v>
      </c>
      <c r="F4" s="53">
        <f t="shared" si="1"/>
        <v>-1.040818235</v>
      </c>
      <c r="I4" s="8" t="s">
        <v>256</v>
      </c>
      <c r="J4" s="51" t="s">
        <v>257</v>
      </c>
      <c r="K4" s="8" t="s">
        <v>258</v>
      </c>
      <c r="L4" s="8" t="s">
        <v>259</v>
      </c>
    </row>
    <row r="5">
      <c r="C5" s="6">
        <v>3.0</v>
      </c>
      <c r="D5" s="6">
        <f>CFADS!I6</f>
        <v>0.3</v>
      </c>
      <c r="E5" s="52">
        <f>1/((1+Intro!$A$28)^C5)</f>
        <v>0.8077751144</v>
      </c>
      <c r="F5" s="53">
        <f t="shared" si="1"/>
        <v>0.2423325343</v>
      </c>
      <c r="I5" s="8" t="s">
        <v>260</v>
      </c>
      <c r="J5" s="51" t="s">
        <v>261</v>
      </c>
      <c r="K5" s="8" t="s">
        <v>262</v>
      </c>
      <c r="L5" s="8" t="s">
        <v>263</v>
      </c>
    </row>
    <row r="6">
      <c r="C6" s="6">
        <v>4.0</v>
      </c>
      <c r="D6" s="6">
        <f>CFADS!I7</f>
        <v>5</v>
      </c>
      <c r="E6" s="52">
        <f>1/((1+Intro!$A$28)^C6)</f>
        <v>0.7522934709</v>
      </c>
      <c r="F6" s="53">
        <f t="shared" si="1"/>
        <v>3.761467355</v>
      </c>
      <c r="I6" s="8" t="s">
        <v>264</v>
      </c>
      <c r="J6" s="51" t="s">
        <v>265</v>
      </c>
      <c r="K6" s="8" t="s">
        <v>266</v>
      </c>
      <c r="L6" s="8" t="s">
        <v>267</v>
      </c>
    </row>
    <row r="7">
      <c r="C7" s="6">
        <v>5.0</v>
      </c>
      <c r="D7" s="6">
        <f>CFADS!I8</f>
        <v>12.4</v>
      </c>
      <c r="E7" s="52">
        <f>1/((1+Intro!$A$28)^C7)</f>
        <v>0.7006225573</v>
      </c>
      <c r="F7" s="53">
        <f t="shared" si="1"/>
        <v>8.687719711</v>
      </c>
      <c r="I7" s="8" t="s">
        <v>268</v>
      </c>
      <c r="J7" s="51" t="s">
        <v>269</v>
      </c>
      <c r="K7" s="8" t="s">
        <v>270</v>
      </c>
      <c r="L7" s="8" t="s">
        <v>271</v>
      </c>
    </row>
    <row r="8">
      <c r="C8" s="6">
        <v>6.0</v>
      </c>
      <c r="D8" s="6">
        <f>CFADS!I9</f>
        <v>18</v>
      </c>
      <c r="E8" s="52">
        <f>1/((1+Intro!$A$28)^C8)</f>
        <v>0.6525006355</v>
      </c>
      <c r="F8" s="53">
        <f t="shared" si="1"/>
        <v>11.74501144</v>
      </c>
    </row>
    <row r="9">
      <c r="C9" s="6">
        <v>7.0</v>
      </c>
      <c r="D9" s="6">
        <f>CFADS!I10</f>
        <v>22.1</v>
      </c>
      <c r="E9" s="52">
        <f>1/((1+Intro!$A$28)^C9)</f>
        <v>0.6076839446</v>
      </c>
      <c r="F9" s="53">
        <f t="shared" si="1"/>
        <v>13.42981517</v>
      </c>
    </row>
    <row r="10">
      <c r="C10" s="6">
        <v>8.0</v>
      </c>
      <c r="D10" s="6">
        <f>CFADS!I11</f>
        <v>24.1</v>
      </c>
      <c r="E10" s="52">
        <f>1/((1+Intro!$A$28)^C10)</f>
        <v>0.5659454664</v>
      </c>
      <c r="F10" s="53">
        <f t="shared" si="1"/>
        <v>13.63928574</v>
      </c>
      <c r="I10" s="1" t="s">
        <v>52</v>
      </c>
      <c r="J10" s="1" t="s">
        <v>251</v>
      </c>
    </row>
    <row r="11">
      <c r="C11" s="6">
        <v>9.0</v>
      </c>
      <c r="D11" s="6">
        <f>CFADS!I12</f>
        <v>25.3</v>
      </c>
      <c r="E11" s="52">
        <f>1/((1+Intro!$A$28)^C11)</f>
        <v>0.5270737755</v>
      </c>
      <c r="F11" s="53">
        <f t="shared" si="1"/>
        <v>13.33496652</v>
      </c>
      <c r="I11" s="8" t="s">
        <v>272</v>
      </c>
      <c r="J11" s="8" t="s">
        <v>273</v>
      </c>
    </row>
    <row r="12">
      <c r="C12" s="6">
        <v>10.0</v>
      </c>
      <c r="D12" s="6">
        <f>CFADS!I13</f>
        <v>22.8</v>
      </c>
      <c r="E12" s="52">
        <f>1/((1+Intro!$A$28)^C12)</f>
        <v>0.4908719678</v>
      </c>
      <c r="F12" s="53">
        <f t="shared" si="1"/>
        <v>11.19188087</v>
      </c>
      <c r="I12" s="8" t="s">
        <v>53</v>
      </c>
      <c r="J12" s="8" t="s">
        <v>274</v>
      </c>
    </row>
    <row r="13">
      <c r="C13" s="6">
        <v>11.0</v>
      </c>
      <c r="D13" s="6">
        <f>CFADS!I14</f>
        <v>21</v>
      </c>
      <c r="E13" s="52">
        <f>1/((1+Intro!$A$28)^C13)</f>
        <v>0.4571566639</v>
      </c>
      <c r="F13" s="53">
        <f t="shared" si="1"/>
        <v>9.600289941</v>
      </c>
      <c r="I13" s="8" t="s">
        <v>275</v>
      </c>
      <c r="J13" s="8" t="s">
        <v>276</v>
      </c>
    </row>
    <row r="14">
      <c r="C14" s="6">
        <v>12.0</v>
      </c>
      <c r="D14" s="6">
        <f>CFADS!I15</f>
        <v>19.7</v>
      </c>
      <c r="E14" s="52">
        <f>1/((1+Intro!$A$28)^C14)</f>
        <v>0.4257570793</v>
      </c>
      <c r="F14" s="53">
        <f t="shared" si="1"/>
        <v>8.387414462</v>
      </c>
      <c r="I14" s="8" t="s">
        <v>277</v>
      </c>
      <c r="J14" s="8" t="s">
        <v>278</v>
      </c>
      <c r="K14" s="1"/>
    </row>
    <row r="15">
      <c r="C15" s="6">
        <v>13.0</v>
      </c>
      <c r="D15" s="6">
        <f>CFADS!I16</f>
        <v>17.4</v>
      </c>
      <c r="E15" s="52">
        <f>1/((1+Intro!$A$28)^C15)</f>
        <v>0.39651416</v>
      </c>
      <c r="F15" s="53">
        <f t="shared" si="1"/>
        <v>6.899346384</v>
      </c>
    </row>
    <row r="16">
      <c r="C16" s="6">
        <v>14.0</v>
      </c>
      <c r="D16" s="6">
        <f>CFADS!I17</f>
        <v>15.2</v>
      </c>
      <c r="E16" s="52">
        <f>1/((1+Intro!$A$28)^C16)</f>
        <v>0.3692797765</v>
      </c>
      <c r="F16" s="53">
        <f t="shared" si="1"/>
        <v>5.613052602</v>
      </c>
    </row>
    <row r="17">
      <c r="C17" s="6">
        <v>15.0</v>
      </c>
      <c r="D17" s="6">
        <f>CFADS!I18</f>
        <v>13</v>
      </c>
      <c r="E17" s="52">
        <f>1/((1+Intro!$A$28)^C17)</f>
        <v>0.3439159734</v>
      </c>
      <c r="F17" s="53">
        <f t="shared" si="1"/>
        <v>4.470907655</v>
      </c>
    </row>
    <row r="19">
      <c r="C19" s="20"/>
      <c r="E19" s="54" t="s">
        <v>51</v>
      </c>
      <c r="F19" s="16">
        <f>SUM(F3:F17)/Intro!C8</f>
        <v>1.519498373</v>
      </c>
      <c r="G19" s="8" t="s">
        <v>279</v>
      </c>
      <c r="H19" s="8" t="s">
        <v>280</v>
      </c>
      <c r="I19" s="8" t="s">
        <v>281</v>
      </c>
      <c r="K19" s="8" t="s">
        <v>282</v>
      </c>
      <c r="L19" s="8" t="s">
        <v>283</v>
      </c>
      <c r="M19" s="8" t="s">
        <v>284</v>
      </c>
    </row>
    <row r="20">
      <c r="K20" s="8" t="s">
        <v>285</v>
      </c>
      <c r="L20" s="8" t="s">
        <v>286</v>
      </c>
      <c r="M20" s="8" t="s">
        <v>287</v>
      </c>
    </row>
    <row r="21">
      <c r="E21" s="55" t="s">
        <v>52</v>
      </c>
      <c r="F21" s="16">
        <f>SUM(F7:F15)/Intro!C8</f>
        <v>1.346051809</v>
      </c>
      <c r="G21" s="8" t="s">
        <v>288</v>
      </c>
      <c r="H21" s="8" t="s">
        <v>289</v>
      </c>
      <c r="I21" s="8" t="s">
        <v>290</v>
      </c>
    </row>
    <row r="25">
      <c r="J25" s="8" t="s">
        <v>291</v>
      </c>
    </row>
    <row r="26">
      <c r="J26" s="8" t="s">
        <v>292</v>
      </c>
    </row>
    <row r="27">
      <c r="J27" s="8" t="s">
        <v>293</v>
      </c>
    </row>
    <row r="33">
      <c r="B33" s="43" t="s">
        <v>294</v>
      </c>
    </row>
    <row r="34">
      <c r="B34" s="56" t="s">
        <v>295</v>
      </c>
    </row>
    <row r="35">
      <c r="B35" s="56" t="s">
        <v>296</v>
      </c>
      <c r="H35" s="8" t="s">
        <v>297</v>
      </c>
    </row>
    <row r="36">
      <c r="B36" s="56" t="s">
        <v>298</v>
      </c>
    </row>
    <row r="37">
      <c r="B37" s="44"/>
    </row>
    <row r="39">
      <c r="B39" s="43" t="s">
        <v>299</v>
      </c>
    </row>
    <row r="40">
      <c r="B40" s="57" t="s">
        <v>300</v>
      </c>
    </row>
    <row r="41">
      <c r="B41" s="57" t="s">
        <v>301</v>
      </c>
    </row>
    <row r="42">
      <c r="B42" s="57" t="s">
        <v>302</v>
      </c>
    </row>
    <row r="43">
      <c r="B43" s="57" t="s">
        <v>303</v>
      </c>
    </row>
    <row r="44">
      <c r="B44" s="57" t="s">
        <v>304</v>
      </c>
    </row>
    <row r="46">
      <c r="B46" s="44"/>
    </row>
    <row r="47">
      <c r="B47" s="43" t="s">
        <v>305</v>
      </c>
    </row>
    <row r="48">
      <c r="B48" s="57" t="s">
        <v>306</v>
      </c>
    </row>
    <row r="49">
      <c r="B49" s="57" t="s">
        <v>307</v>
      </c>
    </row>
    <row r="50">
      <c r="B50" s="57" t="s">
        <v>308</v>
      </c>
    </row>
    <row r="51">
      <c r="B51" s="57" t="s">
        <v>309</v>
      </c>
    </row>
    <row r="54">
      <c r="B54" s="43" t="s">
        <v>310</v>
      </c>
    </row>
    <row r="55">
      <c r="B55" s="56" t="s">
        <v>311</v>
      </c>
    </row>
    <row r="56">
      <c r="B56" s="56" t="s">
        <v>312</v>
      </c>
    </row>
    <row r="57">
      <c r="B57" s="56" t="s">
        <v>313</v>
      </c>
    </row>
    <row r="61">
      <c r="B61" s="44"/>
    </row>
    <row r="63">
      <c r="B63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0.75"/>
    <col customWidth="1" min="3" max="3" width="9.5"/>
    <col customWidth="1" min="4" max="4" width="8.63"/>
    <col customWidth="1" min="5" max="5" width="9.13"/>
    <col customWidth="1" min="6" max="6" width="8.0"/>
    <col customWidth="1" min="7" max="7" width="7.13"/>
    <col customWidth="1" min="8" max="8" width="7.38"/>
    <col customWidth="1" min="9" max="9" width="5.13"/>
    <col customWidth="1" min="10" max="10" width="15.75"/>
    <col customWidth="1" min="11" max="11" width="25.25"/>
    <col customWidth="1" min="12" max="12" width="28.63"/>
    <col customWidth="1" min="13" max="13" width="8.5"/>
    <col customWidth="1" min="14" max="14" width="10.38"/>
    <col customWidth="1" min="15" max="15" width="8.5"/>
    <col customWidth="1" min="16" max="16" width="9.13"/>
    <col customWidth="1" min="17" max="17" width="8.5"/>
    <col customWidth="1" min="18" max="18" width="8.38"/>
    <col customWidth="1" min="19" max="19" width="12.0"/>
    <col customWidth="1" min="20" max="20" width="10.88"/>
    <col customWidth="1" min="21" max="21" width="10.0"/>
    <col customWidth="1" min="22" max="22" width="10.63"/>
    <col customWidth="1" min="23" max="23" width="9.38"/>
    <col customWidth="1" min="24" max="24" width="8.63"/>
    <col customWidth="1" min="25" max="25" width="6.88"/>
    <col customWidth="1" min="26" max="26" width="15.75"/>
    <col customWidth="1" min="27" max="27" width="13.0"/>
    <col customWidth="1" min="28" max="28" width="7.25"/>
    <col customWidth="1" min="29" max="29" width="7.5"/>
    <col customWidth="1" min="30" max="30" width="7.25"/>
  </cols>
  <sheetData>
    <row r="1">
      <c r="A1" s="58" t="s">
        <v>60</v>
      </c>
      <c r="B1" s="58" t="s">
        <v>314</v>
      </c>
      <c r="C1" s="58" t="s">
        <v>315</v>
      </c>
      <c r="D1" s="58" t="s">
        <v>316</v>
      </c>
      <c r="E1" s="58" t="s">
        <v>154</v>
      </c>
      <c r="F1" s="58" t="s">
        <v>156</v>
      </c>
      <c r="G1" s="58" t="s">
        <v>158</v>
      </c>
      <c r="H1" s="58" t="s">
        <v>317</v>
      </c>
      <c r="I1" s="58" t="s">
        <v>318</v>
      </c>
      <c r="J1" s="58" t="s">
        <v>319</v>
      </c>
      <c r="K1" s="58" t="s">
        <v>320</v>
      </c>
      <c r="L1" s="58" t="s">
        <v>321</v>
      </c>
      <c r="M1" s="58" t="s">
        <v>322</v>
      </c>
      <c r="N1" s="58" t="s">
        <v>323</v>
      </c>
      <c r="O1" s="58" t="s">
        <v>324</v>
      </c>
      <c r="P1" s="58" t="s">
        <v>325</v>
      </c>
      <c r="Q1" s="58" t="s">
        <v>326</v>
      </c>
      <c r="R1" s="58" t="s">
        <v>327</v>
      </c>
      <c r="S1" s="58" t="s">
        <v>155</v>
      </c>
      <c r="T1" s="58" t="s">
        <v>157</v>
      </c>
      <c r="U1" s="58" t="s">
        <v>159</v>
      </c>
      <c r="V1" s="58" t="s">
        <v>328</v>
      </c>
      <c r="W1" s="58" t="s">
        <v>329</v>
      </c>
      <c r="X1" s="58" t="s">
        <v>330</v>
      </c>
      <c r="Y1" s="58" t="s">
        <v>331</v>
      </c>
      <c r="Z1" s="58" t="s">
        <v>161</v>
      </c>
      <c r="AA1" s="58" t="s">
        <v>332</v>
      </c>
      <c r="AB1" s="58" t="s">
        <v>333</v>
      </c>
      <c r="AC1" s="58" t="s">
        <v>334</v>
      </c>
      <c r="AD1" s="58" t="s">
        <v>335</v>
      </c>
    </row>
    <row r="2">
      <c r="A2" s="39">
        <v>1.0</v>
      </c>
      <c r="B2" s="59">
        <f>IF(A2=1, 'Params (waterfall only)'!$B$2, V1)</f>
        <v>43.2</v>
      </c>
      <c r="C2" s="59">
        <f>IF(A2=1, 'Params (waterfall only)'!$B$3, W1)</f>
        <v>18</v>
      </c>
      <c r="D2" s="59">
        <f>IF(A2=1, 'Params (waterfall only)'!$B$4, X1)</f>
        <v>10.8</v>
      </c>
      <c r="E2" s="60">
        <f>B2*'Params (waterfall only)'!$B$5</f>
        <v>2.592</v>
      </c>
      <c r="F2" s="60">
        <f>C2*'Params (waterfall only)'!$B$6</f>
        <v>1.53</v>
      </c>
      <c r="G2" s="60">
        <f>D2*'Params (waterfall only)'!$B$7</f>
        <v>1.188</v>
      </c>
      <c r="H2" s="59">
        <f>IF(A2&lt;='Params (waterfall only)'!$B$8, 0, MIN(CFADS!I4, CFADS!I4/'Params (waterfall only)'!$B$10))</f>
        <v>0</v>
      </c>
      <c r="I2" s="59">
        <f t="shared" ref="I2:I16" si="3">MAX(0, H2-(E2+F2+G2))</f>
        <v>0</v>
      </c>
      <c r="J2" s="61">
        <f>MIN(B2, 'Params (waterfall only)'!$B$11*I2)</f>
        <v>0</v>
      </c>
      <c r="K2" s="61">
        <f>MIN(C2, 'Params (waterfall only)'!$B$12*I2)</f>
        <v>0</v>
      </c>
      <c r="L2" s="61">
        <f>MIN(D2, 'Params (waterfall only)'!$B$13*I2)</f>
        <v>0</v>
      </c>
      <c r="M2" s="59">
        <f t="shared" ref="M2:M16" si="4">I2-(J2+K2+L2)</f>
        <v>0</v>
      </c>
      <c r="N2" s="59">
        <f t="shared" ref="N2:N16" si="5">MAX(0, MIN(B2-J2, M2))</f>
        <v>0</v>
      </c>
      <c r="O2" s="59">
        <f t="shared" ref="O2:O16" si="6">MAX(0, M2-N2)</f>
        <v>0</v>
      </c>
      <c r="P2" s="59">
        <f t="shared" ref="P2:P16" si="7">MAX(0, MIN(C2-K2, O2))</f>
        <v>0</v>
      </c>
      <c r="Q2" s="59">
        <f t="shared" ref="Q2:Q16" si="8">MAX(0, O2-P2)</f>
        <v>0</v>
      </c>
      <c r="R2" s="59">
        <f t="shared" ref="R2:R16" si="9">MAX(0, MIN(D2-L2, Q2))</f>
        <v>0</v>
      </c>
      <c r="S2" s="60">
        <f>IF(A2&lt;='Params (waterfall only)'!$B$8,0, J2+N2)</f>
        <v>0</v>
      </c>
      <c r="T2" s="60">
        <f>IF(A2&lt;='Params (waterfall only)'!$B$8,0, K2+P2)</f>
        <v>0</v>
      </c>
      <c r="U2" s="60">
        <f>IF(A2&lt;='Params (waterfall only)'!$B$8,0, L2+R2)</f>
        <v>0</v>
      </c>
      <c r="V2" s="59">
        <f t="shared" ref="V2:X2" si="1">MAX(0, B2-S2)</f>
        <v>43.2</v>
      </c>
      <c r="W2" s="59">
        <f t="shared" si="1"/>
        <v>18</v>
      </c>
      <c r="X2" s="59">
        <f t="shared" si="1"/>
        <v>10.8</v>
      </c>
      <c r="Y2" s="60">
        <f t="shared" ref="Y2:Y16" si="11">E2+F2+G2+S2+T2+U2</f>
        <v>5.31</v>
      </c>
      <c r="Z2" s="60">
        <f>IF(Y2=0,"", CFADS!I4/Y2)</f>
        <v>-0.1129943503</v>
      </c>
      <c r="AA2" s="59">
        <f>MAX(0, CFADS!I4 - Y2)</f>
        <v>0</v>
      </c>
      <c r="AB2" s="59">
        <f t="shared" ref="AB2:AD2" si="2">0</f>
        <v>0</v>
      </c>
      <c r="AC2" s="59">
        <f t="shared" si="2"/>
        <v>0</v>
      </c>
      <c r="AD2" s="59">
        <f t="shared" si="2"/>
        <v>0</v>
      </c>
    </row>
    <row r="3">
      <c r="A3" s="39">
        <v>2.0</v>
      </c>
      <c r="B3" s="59">
        <f>IF(A3=1, 'Params (waterfall only)'!$B$2, V2)</f>
        <v>43.2</v>
      </c>
      <c r="C3" s="59">
        <f>IF(A3=1, 'Params (waterfall only)'!$B$3, W2)</f>
        <v>18</v>
      </c>
      <c r="D3" s="59">
        <f>IF(A3=1, 'Params (waterfall only)'!$B$4, X2)</f>
        <v>10.8</v>
      </c>
      <c r="E3" s="60">
        <f>B3*'Params (waterfall only)'!$B$5</f>
        <v>2.592</v>
      </c>
      <c r="F3" s="60">
        <f>C3*'Params (waterfall only)'!$B$6</f>
        <v>1.53</v>
      </c>
      <c r="G3" s="60">
        <f>D3*'Params (waterfall only)'!$B$7</f>
        <v>1.188</v>
      </c>
      <c r="H3" s="59">
        <f>IF(A3&lt;='Params (waterfall only)'!$B$8, 0, MIN(CFADS!I5, CFADS!I5/'Params (waterfall only)'!$B$10))</f>
        <v>0</v>
      </c>
      <c r="I3" s="59">
        <f t="shared" si="3"/>
        <v>0</v>
      </c>
      <c r="J3" s="61">
        <f>MIN(B3, 'Params (waterfall only)'!$B$11*I3)</f>
        <v>0</v>
      </c>
      <c r="K3" s="61">
        <f>MIN(C3, 'Params (waterfall only)'!$B$12*I3)</f>
        <v>0</v>
      </c>
      <c r="L3" s="61">
        <f>MIN(D3, 'Params (waterfall only)'!$B$13*I3)</f>
        <v>0</v>
      </c>
      <c r="M3" s="59">
        <f t="shared" si="4"/>
        <v>0</v>
      </c>
      <c r="N3" s="59">
        <f t="shared" si="5"/>
        <v>0</v>
      </c>
      <c r="O3" s="59">
        <f t="shared" si="6"/>
        <v>0</v>
      </c>
      <c r="P3" s="59">
        <f t="shared" si="7"/>
        <v>0</v>
      </c>
      <c r="Q3" s="59">
        <f t="shared" si="8"/>
        <v>0</v>
      </c>
      <c r="R3" s="59">
        <f t="shared" si="9"/>
        <v>0</v>
      </c>
      <c r="S3" s="60">
        <f>IF(A3&lt;='Params (waterfall only)'!$B$8,0, J3+N3)</f>
        <v>0</v>
      </c>
      <c r="T3" s="60">
        <f>IF(A3&lt;='Params (waterfall only)'!$B$8,0, K3+P3)</f>
        <v>0</v>
      </c>
      <c r="U3" s="60">
        <f>IF(A3&lt;='Params (waterfall only)'!$B$8,0, L3+R3)</f>
        <v>0</v>
      </c>
      <c r="V3" s="59">
        <f t="shared" ref="V3:X3" si="10">MAX(0, B3-S3)</f>
        <v>43.2</v>
      </c>
      <c r="W3" s="59">
        <f t="shared" si="10"/>
        <v>18</v>
      </c>
      <c r="X3" s="59">
        <f t="shared" si="10"/>
        <v>10.8</v>
      </c>
      <c r="Y3" s="60">
        <f t="shared" si="11"/>
        <v>5.31</v>
      </c>
      <c r="Z3" s="60">
        <f>IF(Y3=0,"", CFADS!I5/Y3)</f>
        <v>-0.2259887006</v>
      </c>
      <c r="AA3" s="59">
        <f>MAX(0, CFADS!I5 - Y3)</f>
        <v>0</v>
      </c>
      <c r="AB3" s="59">
        <f t="shared" ref="AB3:AD3" si="12">0</f>
        <v>0</v>
      </c>
      <c r="AC3" s="59">
        <f t="shared" si="12"/>
        <v>0</v>
      </c>
      <c r="AD3" s="59">
        <f t="shared" si="12"/>
        <v>0</v>
      </c>
    </row>
    <row r="4">
      <c r="A4" s="39">
        <v>3.0</v>
      </c>
      <c r="B4" s="59">
        <f>IF(A4=1, 'Params (waterfall only)'!$B$2, V3)</f>
        <v>43.2</v>
      </c>
      <c r="C4" s="59">
        <f>IF(A4=1, 'Params (waterfall only)'!$B$3, W3)</f>
        <v>18</v>
      </c>
      <c r="D4" s="59">
        <f>IF(A4=1, 'Params (waterfall only)'!$B$4, X3)</f>
        <v>10.8</v>
      </c>
      <c r="E4" s="60">
        <f>B4*'Params (waterfall only)'!$B$5</f>
        <v>2.592</v>
      </c>
      <c r="F4" s="60">
        <f>C4*'Params (waterfall only)'!$B$6</f>
        <v>1.53</v>
      </c>
      <c r="G4" s="60">
        <f>D4*'Params (waterfall only)'!$B$7</f>
        <v>1.188</v>
      </c>
      <c r="H4" s="59">
        <f>IF(A4&lt;='Params (waterfall only)'!$B$8, 0, MIN(CFADS!I6, CFADS!I6/'Params (waterfall only)'!$B$10))</f>
        <v>0</v>
      </c>
      <c r="I4" s="59">
        <f t="shared" si="3"/>
        <v>0</v>
      </c>
      <c r="J4" s="61">
        <f>MIN(B4, 'Params (waterfall only)'!$B$11*I4)</f>
        <v>0</v>
      </c>
      <c r="K4" s="61">
        <f>MIN(C4, 'Params (waterfall only)'!$B$12*I4)</f>
        <v>0</v>
      </c>
      <c r="L4" s="61">
        <f>MIN(D4, 'Params (waterfall only)'!$B$13*I4)</f>
        <v>0</v>
      </c>
      <c r="M4" s="59">
        <f t="shared" si="4"/>
        <v>0</v>
      </c>
      <c r="N4" s="59">
        <f t="shared" si="5"/>
        <v>0</v>
      </c>
      <c r="O4" s="59">
        <f t="shared" si="6"/>
        <v>0</v>
      </c>
      <c r="P4" s="59">
        <f t="shared" si="7"/>
        <v>0</v>
      </c>
      <c r="Q4" s="59">
        <f t="shared" si="8"/>
        <v>0</v>
      </c>
      <c r="R4" s="59">
        <f t="shared" si="9"/>
        <v>0</v>
      </c>
      <c r="S4" s="60">
        <f>IF(A4&lt;='Params (waterfall only)'!$B$8,0, J4+N4)</f>
        <v>0</v>
      </c>
      <c r="T4" s="60">
        <f>IF(A4&lt;='Params (waterfall only)'!$B$8,0, K4+P4)</f>
        <v>0</v>
      </c>
      <c r="U4" s="60">
        <f>IF(A4&lt;='Params (waterfall only)'!$B$8,0, L4+R4)</f>
        <v>0</v>
      </c>
      <c r="V4" s="59">
        <f t="shared" ref="V4:X4" si="13">MAX(0, B4-S4)</f>
        <v>43.2</v>
      </c>
      <c r="W4" s="59">
        <f t="shared" si="13"/>
        <v>18</v>
      </c>
      <c r="X4" s="59">
        <f t="shared" si="13"/>
        <v>10.8</v>
      </c>
      <c r="Y4" s="60">
        <f t="shared" si="11"/>
        <v>5.31</v>
      </c>
      <c r="Z4" s="60">
        <f>IF(Y4=0,"", CFADS!I6/Y4)</f>
        <v>0.05649717514</v>
      </c>
      <c r="AA4" s="59">
        <f>MAX(0, CFADS!I6 - Y4)</f>
        <v>0</v>
      </c>
      <c r="AB4" s="59">
        <f t="shared" ref="AB4:AD4" si="14">0</f>
        <v>0</v>
      </c>
      <c r="AC4" s="59">
        <f t="shared" si="14"/>
        <v>0</v>
      </c>
      <c r="AD4" s="59">
        <f t="shared" si="14"/>
        <v>0</v>
      </c>
    </row>
    <row r="5">
      <c r="A5" s="39">
        <v>4.0</v>
      </c>
      <c r="B5" s="59">
        <f>IF(A5=1, 'Params (waterfall only)'!$B$2, V4)</f>
        <v>43.2</v>
      </c>
      <c r="C5" s="59">
        <f>IF(A5=1, 'Params (waterfall only)'!$B$3, W4)</f>
        <v>18</v>
      </c>
      <c r="D5" s="59">
        <f>IF(A5=1, 'Params (waterfall only)'!$B$4, X4)</f>
        <v>10.8</v>
      </c>
      <c r="E5" s="60">
        <f>B5*'Params (waterfall only)'!$B$5</f>
        <v>2.592</v>
      </c>
      <c r="F5" s="60">
        <f>C5*'Params (waterfall only)'!$B$6</f>
        <v>1.53</v>
      </c>
      <c r="G5" s="60">
        <f>D5*'Params (waterfall only)'!$B$7</f>
        <v>1.188</v>
      </c>
      <c r="H5" s="59">
        <f>IF(A5&lt;='Params (waterfall only)'!$B$8, 0, MIN(CFADS!I7, CFADS!I7/'Params (waterfall only)'!$B$10))</f>
        <v>0</v>
      </c>
      <c r="I5" s="59">
        <f t="shared" si="3"/>
        <v>0</v>
      </c>
      <c r="J5" s="61">
        <f>MIN(B5, 'Params (waterfall only)'!$B$11*I5)</f>
        <v>0</v>
      </c>
      <c r="K5" s="61">
        <f>MIN(C5, 'Params (waterfall only)'!$B$12*I5)</f>
        <v>0</v>
      </c>
      <c r="L5" s="61">
        <f>MIN(D5, 'Params (waterfall only)'!$B$13*I5)</f>
        <v>0</v>
      </c>
      <c r="M5" s="59">
        <f t="shared" si="4"/>
        <v>0</v>
      </c>
      <c r="N5" s="59">
        <f t="shared" si="5"/>
        <v>0</v>
      </c>
      <c r="O5" s="59">
        <f t="shared" si="6"/>
        <v>0</v>
      </c>
      <c r="P5" s="59">
        <f t="shared" si="7"/>
        <v>0</v>
      </c>
      <c r="Q5" s="59">
        <f t="shared" si="8"/>
        <v>0</v>
      </c>
      <c r="R5" s="59">
        <f t="shared" si="9"/>
        <v>0</v>
      </c>
      <c r="S5" s="60">
        <f>IF(A5&lt;='Params (waterfall only)'!$B$8,0, J5+N5)</f>
        <v>0</v>
      </c>
      <c r="T5" s="60">
        <f>IF(A5&lt;='Params (waterfall only)'!$B$8,0, K5+P5)</f>
        <v>0</v>
      </c>
      <c r="U5" s="60">
        <f>IF(A5&lt;='Params (waterfall only)'!$B$8,0, L5+R5)</f>
        <v>0</v>
      </c>
      <c r="V5" s="59">
        <f t="shared" ref="V5:X5" si="15">MAX(0, B5-S5)</f>
        <v>43.2</v>
      </c>
      <c r="W5" s="59">
        <f t="shared" si="15"/>
        <v>18</v>
      </c>
      <c r="X5" s="59">
        <f t="shared" si="15"/>
        <v>10.8</v>
      </c>
      <c r="Y5" s="60">
        <f t="shared" si="11"/>
        <v>5.31</v>
      </c>
      <c r="Z5" s="60">
        <f>IF(Y5=0,"", CFADS!I7/Y5)</f>
        <v>0.9416195857</v>
      </c>
      <c r="AA5" s="59">
        <f>MAX(0, CFADS!I7 - Y5)</f>
        <v>0</v>
      </c>
      <c r="AB5" s="59">
        <f t="shared" ref="AB5:AD5" si="16">0</f>
        <v>0</v>
      </c>
      <c r="AC5" s="59">
        <f t="shared" si="16"/>
        <v>0</v>
      </c>
      <c r="AD5" s="59">
        <f t="shared" si="16"/>
        <v>0</v>
      </c>
    </row>
    <row r="6">
      <c r="A6" s="39">
        <v>5.0</v>
      </c>
      <c r="B6" s="59">
        <f>IF(A6=1, 'Params (waterfall only)'!$B$2, V5)</f>
        <v>43.2</v>
      </c>
      <c r="C6" s="59">
        <f>IF(A6=1, 'Params (waterfall only)'!$B$3, W5)</f>
        <v>18</v>
      </c>
      <c r="D6" s="59">
        <f>IF(A6=1, 'Params (waterfall only)'!$B$4, X5)</f>
        <v>10.8</v>
      </c>
      <c r="E6" s="60">
        <f>B6*'Params (waterfall only)'!$B$5</f>
        <v>2.592</v>
      </c>
      <c r="F6" s="60">
        <f>C6*'Params (waterfall only)'!$B$6</f>
        <v>1.53</v>
      </c>
      <c r="G6" s="60">
        <f>D6*'Params (waterfall only)'!$B$7</f>
        <v>1.188</v>
      </c>
      <c r="H6" s="59">
        <f>IF(A6&lt;='Params (waterfall only)'!$B$8, 0, MIN(CFADS!I8, CFADS!I8/'Params (waterfall only)'!$B$10))</f>
        <v>8.551724138</v>
      </c>
      <c r="I6" s="59">
        <f t="shared" si="3"/>
        <v>3.241724138</v>
      </c>
      <c r="J6" s="61">
        <f>MIN(B6, 'Params (waterfall only)'!$B$11*I6)</f>
        <v>2.269206897</v>
      </c>
      <c r="K6" s="61">
        <f>MIN(C6, 'Params (waterfall only)'!$B$12*I6)</f>
        <v>0.7455965517</v>
      </c>
      <c r="L6" s="61">
        <f>MIN(D6, 'Params (waterfall only)'!$B$13*I6)</f>
        <v>0.2269206897</v>
      </c>
      <c r="M6" s="59">
        <f t="shared" si="4"/>
        <v>0</v>
      </c>
      <c r="N6" s="59">
        <f t="shared" si="5"/>
        <v>0</v>
      </c>
      <c r="O6" s="59">
        <f t="shared" si="6"/>
        <v>0</v>
      </c>
      <c r="P6" s="59">
        <f t="shared" si="7"/>
        <v>0</v>
      </c>
      <c r="Q6" s="59">
        <f t="shared" si="8"/>
        <v>0</v>
      </c>
      <c r="R6" s="59">
        <f t="shared" si="9"/>
        <v>0</v>
      </c>
      <c r="S6" s="60">
        <f>IF(A6&lt;='Params (waterfall only)'!$B$8,0, J6+N6)</f>
        <v>2.269206897</v>
      </c>
      <c r="T6" s="60">
        <f>IF(A6&lt;='Params (waterfall only)'!$B$8,0, K6+P6)</f>
        <v>0.7455965517</v>
      </c>
      <c r="U6" s="60">
        <f>IF(A6&lt;='Params (waterfall only)'!$B$8,0, L6+R6)</f>
        <v>0.2269206897</v>
      </c>
      <c r="V6" s="59">
        <f t="shared" ref="V6:X6" si="17">MAX(0, B6-S6)</f>
        <v>40.9307931</v>
      </c>
      <c r="W6" s="59">
        <f t="shared" si="17"/>
        <v>17.25440345</v>
      </c>
      <c r="X6" s="59">
        <f t="shared" si="17"/>
        <v>10.57307931</v>
      </c>
      <c r="Y6" s="60">
        <f t="shared" si="11"/>
        <v>8.551724138</v>
      </c>
      <c r="Z6" s="60">
        <f>IF(Y6=0,"", CFADS!I8/Y6)</f>
        <v>1.45</v>
      </c>
      <c r="AA6" s="59">
        <f>MAX(0, CFADS!I8 - Y6)</f>
        <v>3.848275862</v>
      </c>
      <c r="AB6" s="59">
        <f t="shared" ref="AB6:AD6" si="18">0</f>
        <v>0</v>
      </c>
      <c r="AC6" s="59">
        <f t="shared" si="18"/>
        <v>0</v>
      </c>
      <c r="AD6" s="59">
        <f t="shared" si="18"/>
        <v>0</v>
      </c>
    </row>
    <row r="7">
      <c r="A7" s="39">
        <v>6.0</v>
      </c>
      <c r="B7" s="59">
        <f>IF(A7=1, 'Params (waterfall only)'!$B$2, V6)</f>
        <v>40.9307931</v>
      </c>
      <c r="C7" s="59">
        <f>IF(A7=1, 'Params (waterfall only)'!$B$3, W6)</f>
        <v>17.25440345</v>
      </c>
      <c r="D7" s="59">
        <f>IF(A7=1, 'Params (waterfall only)'!$B$4, X6)</f>
        <v>10.57307931</v>
      </c>
      <c r="E7" s="60">
        <f>B7*'Params (waterfall only)'!$B$5</f>
        <v>2.455847586</v>
      </c>
      <c r="F7" s="60">
        <f>C7*'Params (waterfall only)'!$B$6</f>
        <v>1.466624293</v>
      </c>
      <c r="G7" s="60">
        <f>D7*'Params (waterfall only)'!$B$7</f>
        <v>1.163038724</v>
      </c>
      <c r="H7" s="59">
        <f>IF(A7&lt;='Params (waterfall only)'!$B$8, 0, MIN(CFADS!I9, CFADS!I9/'Params (waterfall only)'!$B$10))</f>
        <v>12.4137931</v>
      </c>
      <c r="I7" s="59">
        <f t="shared" si="3"/>
        <v>7.3282825</v>
      </c>
      <c r="J7" s="61">
        <f>MIN(B7, 'Params (waterfall only)'!$B$11*I7)</f>
        <v>5.12979775</v>
      </c>
      <c r="K7" s="61">
        <f>MIN(C7, 'Params (waterfall only)'!$B$12*I7)</f>
        <v>1.685504975</v>
      </c>
      <c r="L7" s="61">
        <f>MIN(D7, 'Params (waterfall only)'!$B$13*I7)</f>
        <v>0.512979775</v>
      </c>
      <c r="M7" s="59">
        <f t="shared" si="4"/>
        <v>0</v>
      </c>
      <c r="N7" s="59">
        <f t="shared" si="5"/>
        <v>0</v>
      </c>
      <c r="O7" s="59">
        <f t="shared" si="6"/>
        <v>0</v>
      </c>
      <c r="P7" s="59">
        <f t="shared" si="7"/>
        <v>0</v>
      </c>
      <c r="Q7" s="59">
        <f t="shared" si="8"/>
        <v>0</v>
      </c>
      <c r="R7" s="59">
        <f t="shared" si="9"/>
        <v>0</v>
      </c>
      <c r="S7" s="60">
        <f>IF(A7&lt;='Params (waterfall only)'!$B$8,0, J7+N7)</f>
        <v>5.12979775</v>
      </c>
      <c r="T7" s="60">
        <f>IF(A7&lt;='Params (waterfall only)'!$B$8,0, K7+P7)</f>
        <v>1.685504975</v>
      </c>
      <c r="U7" s="60">
        <f>IF(A7&lt;='Params (waterfall only)'!$B$8,0, L7+R7)</f>
        <v>0.512979775</v>
      </c>
      <c r="V7" s="59">
        <f t="shared" ref="V7:X7" si="19">MAX(0, B7-S7)</f>
        <v>35.80099535</v>
      </c>
      <c r="W7" s="59">
        <f t="shared" si="19"/>
        <v>15.56889847</v>
      </c>
      <c r="X7" s="59">
        <f t="shared" si="19"/>
        <v>10.06009954</v>
      </c>
      <c r="Y7" s="60">
        <f t="shared" si="11"/>
        <v>12.4137931</v>
      </c>
      <c r="Z7" s="60">
        <f>IF(Y7=0,"", CFADS!I9/Y7)</f>
        <v>1.45</v>
      </c>
      <c r="AA7" s="59">
        <f>MAX(0, CFADS!I9 - Y7)</f>
        <v>5.586206897</v>
      </c>
      <c r="AB7" s="59">
        <f t="shared" ref="AB7:AD7" si="20">0</f>
        <v>0</v>
      </c>
      <c r="AC7" s="59">
        <f t="shared" si="20"/>
        <v>0</v>
      </c>
      <c r="AD7" s="59">
        <f t="shared" si="20"/>
        <v>0</v>
      </c>
    </row>
    <row r="8">
      <c r="A8" s="39">
        <v>7.0</v>
      </c>
      <c r="B8" s="59">
        <f>IF(A8=1, 'Params (waterfall only)'!$B$2, V7)</f>
        <v>35.80099535</v>
      </c>
      <c r="C8" s="59">
        <f>IF(A8=1, 'Params (waterfall only)'!$B$3, W7)</f>
        <v>15.56889847</v>
      </c>
      <c r="D8" s="59">
        <f>IF(A8=1, 'Params (waterfall only)'!$B$4, X7)</f>
        <v>10.06009954</v>
      </c>
      <c r="E8" s="60">
        <f>B8*'Params (waterfall only)'!$B$5</f>
        <v>2.148059721</v>
      </c>
      <c r="F8" s="60">
        <f>C8*'Params (waterfall only)'!$B$6</f>
        <v>1.32335637</v>
      </c>
      <c r="G8" s="60">
        <f>D8*'Params (waterfall only)'!$B$7</f>
        <v>1.106610949</v>
      </c>
      <c r="H8" s="59">
        <f>IF(A8&lt;='Params (waterfall only)'!$B$8, 0, MIN(CFADS!I10, CFADS!I10/'Params (waterfall only)'!$B$10))</f>
        <v>15.24137931</v>
      </c>
      <c r="I8" s="59">
        <f t="shared" si="3"/>
        <v>10.66335227</v>
      </c>
      <c r="J8" s="61">
        <f>MIN(B8, 'Params (waterfall only)'!$B$11*I8)</f>
        <v>7.464346589</v>
      </c>
      <c r="K8" s="61">
        <f>MIN(C8, 'Params (waterfall only)'!$B$12*I8)</f>
        <v>2.452571022</v>
      </c>
      <c r="L8" s="61">
        <f>MIN(D8, 'Params (waterfall only)'!$B$13*I8)</f>
        <v>0.7464346589</v>
      </c>
      <c r="M8" s="59">
        <f t="shared" si="4"/>
        <v>0</v>
      </c>
      <c r="N8" s="59">
        <f t="shared" si="5"/>
        <v>0</v>
      </c>
      <c r="O8" s="59">
        <f t="shared" si="6"/>
        <v>0</v>
      </c>
      <c r="P8" s="59">
        <f t="shared" si="7"/>
        <v>0</v>
      </c>
      <c r="Q8" s="59">
        <f t="shared" si="8"/>
        <v>0</v>
      </c>
      <c r="R8" s="59">
        <f t="shared" si="9"/>
        <v>0</v>
      </c>
      <c r="S8" s="60">
        <f>IF(A8&lt;='Params (waterfall only)'!$B$8,0, J8+N8)</f>
        <v>7.464346589</v>
      </c>
      <c r="T8" s="60">
        <f>IF(A8&lt;='Params (waterfall only)'!$B$8,0, K8+P8)</f>
        <v>2.452571022</v>
      </c>
      <c r="U8" s="60">
        <f>IF(A8&lt;='Params (waterfall only)'!$B$8,0, L8+R8)</f>
        <v>0.7464346589</v>
      </c>
      <c r="V8" s="59">
        <f t="shared" ref="V8:X8" si="21">MAX(0, B8-S8)</f>
        <v>28.33664876</v>
      </c>
      <c r="W8" s="59">
        <f t="shared" si="21"/>
        <v>13.11632745</v>
      </c>
      <c r="X8" s="59">
        <f t="shared" si="21"/>
        <v>9.313664876</v>
      </c>
      <c r="Y8" s="60">
        <f t="shared" si="11"/>
        <v>15.24137931</v>
      </c>
      <c r="Z8" s="60">
        <f>IF(Y8=0,"", CFADS!I10/Y8)</f>
        <v>1.45</v>
      </c>
      <c r="AA8" s="59">
        <f>MAX(0, CFADS!I10 - Y8)</f>
        <v>6.85862069</v>
      </c>
      <c r="AB8" s="59">
        <f t="shared" ref="AB8:AD8" si="22">0</f>
        <v>0</v>
      </c>
      <c r="AC8" s="59">
        <f t="shared" si="22"/>
        <v>0</v>
      </c>
      <c r="AD8" s="59">
        <f t="shared" si="22"/>
        <v>0</v>
      </c>
    </row>
    <row r="9">
      <c r="A9" s="39">
        <v>8.0</v>
      </c>
      <c r="B9" s="59">
        <f>IF(A9=1, 'Params (waterfall only)'!$B$2, V8)</f>
        <v>28.33664876</v>
      </c>
      <c r="C9" s="59">
        <f>IF(A9=1, 'Params (waterfall only)'!$B$3, W8)</f>
        <v>13.11632745</v>
      </c>
      <c r="D9" s="59">
        <f>IF(A9=1, 'Params (waterfall only)'!$B$4, X8)</f>
        <v>9.313664876</v>
      </c>
      <c r="E9" s="60">
        <f>B9*'Params (waterfall only)'!$B$5</f>
        <v>1.700198926</v>
      </c>
      <c r="F9" s="60">
        <f>C9*'Params (waterfall only)'!$B$6</f>
        <v>1.114887833</v>
      </c>
      <c r="G9" s="60">
        <f>D9*'Params (waterfall only)'!$B$7</f>
        <v>1.024503136</v>
      </c>
      <c r="H9" s="59">
        <f>IF(A9&lt;='Params (waterfall only)'!$B$8, 0, MIN(CFADS!I11, CFADS!I11/'Params (waterfall only)'!$B$10))</f>
        <v>16.62068966</v>
      </c>
      <c r="I9" s="59">
        <f t="shared" si="3"/>
        <v>12.78109976</v>
      </c>
      <c r="J9" s="61">
        <f>MIN(B9, 'Params (waterfall only)'!$B$11*I9)</f>
        <v>8.946769832</v>
      </c>
      <c r="K9" s="61">
        <f>MIN(C9, 'Params (waterfall only)'!$B$12*I9)</f>
        <v>2.939652945</v>
      </c>
      <c r="L9" s="61">
        <f>MIN(D9, 'Params (waterfall only)'!$B$13*I9)</f>
        <v>0.8946769832</v>
      </c>
      <c r="M9" s="59">
        <f t="shared" si="4"/>
        <v>0</v>
      </c>
      <c r="N9" s="59">
        <f t="shared" si="5"/>
        <v>0</v>
      </c>
      <c r="O9" s="59">
        <f t="shared" si="6"/>
        <v>0</v>
      </c>
      <c r="P9" s="59">
        <f t="shared" si="7"/>
        <v>0</v>
      </c>
      <c r="Q9" s="59">
        <f t="shared" si="8"/>
        <v>0</v>
      </c>
      <c r="R9" s="59">
        <f t="shared" si="9"/>
        <v>0</v>
      </c>
      <c r="S9" s="60">
        <f>IF(A9&lt;='Params (waterfall only)'!$B$8,0, J9+N9)</f>
        <v>8.946769832</v>
      </c>
      <c r="T9" s="60">
        <f>IF(A9&lt;='Params (waterfall only)'!$B$8,0, K9+P9)</f>
        <v>2.939652945</v>
      </c>
      <c r="U9" s="60">
        <f>IF(A9&lt;='Params (waterfall only)'!$B$8,0, L9+R9)</f>
        <v>0.8946769832</v>
      </c>
      <c r="V9" s="59">
        <f t="shared" ref="V9:X9" si="23">MAX(0, B9-S9)</f>
        <v>19.38987893</v>
      </c>
      <c r="W9" s="59">
        <f t="shared" si="23"/>
        <v>10.17667451</v>
      </c>
      <c r="X9" s="59">
        <f t="shared" si="23"/>
        <v>8.418987893</v>
      </c>
      <c r="Y9" s="60">
        <f t="shared" si="11"/>
        <v>16.62068966</v>
      </c>
      <c r="Z9" s="60">
        <f>IF(Y9=0,"", CFADS!I11/Y9)</f>
        <v>1.45</v>
      </c>
      <c r="AA9" s="59">
        <f>MAX(0, CFADS!I11 - Y9)</f>
        <v>7.479310345</v>
      </c>
      <c r="AB9" s="59">
        <f t="shared" ref="AB9:AD9" si="24">0</f>
        <v>0</v>
      </c>
      <c r="AC9" s="59">
        <f t="shared" si="24"/>
        <v>0</v>
      </c>
      <c r="AD9" s="59">
        <f t="shared" si="24"/>
        <v>0</v>
      </c>
    </row>
    <row r="10">
      <c r="A10" s="39">
        <v>9.0</v>
      </c>
      <c r="B10" s="59">
        <f>IF(A10=1, 'Params (waterfall only)'!$B$2, V9)</f>
        <v>19.38987893</v>
      </c>
      <c r="C10" s="59">
        <f>IF(A10=1, 'Params (waterfall only)'!$B$3, W9)</f>
        <v>10.17667451</v>
      </c>
      <c r="D10" s="59">
        <f>IF(A10=1, 'Params (waterfall only)'!$B$4, X9)</f>
        <v>8.418987893</v>
      </c>
      <c r="E10" s="60">
        <f>B10*'Params (waterfall only)'!$B$5</f>
        <v>1.163392736</v>
      </c>
      <c r="F10" s="60">
        <f>C10*'Params (waterfall only)'!$B$6</f>
        <v>0.8650173331</v>
      </c>
      <c r="G10" s="60">
        <f>D10*'Params (waterfall only)'!$B$7</f>
        <v>0.9260886683</v>
      </c>
      <c r="H10" s="59">
        <f>IF(A10&lt;='Params (waterfall only)'!$B$8, 0, MIN(CFADS!I12, CFADS!I12/'Params (waterfall only)'!$B$10))</f>
        <v>17.44827586</v>
      </c>
      <c r="I10" s="59">
        <f t="shared" si="3"/>
        <v>14.49377712</v>
      </c>
      <c r="J10" s="61">
        <f>MIN(B10, 'Params (waterfall only)'!$B$11*I10)</f>
        <v>10.14564399</v>
      </c>
      <c r="K10" s="61">
        <f>MIN(C10, 'Params (waterfall only)'!$B$12*I10)</f>
        <v>3.333568739</v>
      </c>
      <c r="L10" s="61">
        <f>MIN(D10, 'Params (waterfall only)'!$B$13*I10)</f>
        <v>1.014564399</v>
      </c>
      <c r="M10" s="59">
        <f t="shared" si="4"/>
        <v>0</v>
      </c>
      <c r="N10" s="59">
        <f t="shared" si="5"/>
        <v>0</v>
      </c>
      <c r="O10" s="59">
        <f t="shared" si="6"/>
        <v>0</v>
      </c>
      <c r="P10" s="59">
        <f t="shared" si="7"/>
        <v>0</v>
      </c>
      <c r="Q10" s="59">
        <f t="shared" si="8"/>
        <v>0</v>
      </c>
      <c r="R10" s="59">
        <f t="shared" si="9"/>
        <v>0</v>
      </c>
      <c r="S10" s="60">
        <f>IF(A10&lt;='Params (waterfall only)'!$B$8,0, J10+N10)</f>
        <v>10.14564399</v>
      </c>
      <c r="T10" s="60">
        <f>IF(A10&lt;='Params (waterfall only)'!$B$8,0, K10+P10)</f>
        <v>3.333568739</v>
      </c>
      <c r="U10" s="60">
        <f>IF(A10&lt;='Params (waterfall only)'!$B$8,0, L10+R10)</f>
        <v>1.014564399</v>
      </c>
      <c r="V10" s="59">
        <f t="shared" ref="V10:X10" si="25">MAX(0, B10-S10)</f>
        <v>9.244234945</v>
      </c>
      <c r="W10" s="59">
        <f t="shared" si="25"/>
        <v>6.843105768</v>
      </c>
      <c r="X10" s="59">
        <f t="shared" si="25"/>
        <v>7.404423495</v>
      </c>
      <c r="Y10" s="60">
        <f t="shared" si="11"/>
        <v>17.44827586</v>
      </c>
      <c r="Z10" s="60">
        <f>IF(Y10=0,"", CFADS!I12/Y10)</f>
        <v>1.45</v>
      </c>
      <c r="AA10" s="59">
        <f>MAX(0, CFADS!I12 - Y10)</f>
        <v>7.851724138</v>
      </c>
      <c r="AB10" s="59">
        <f t="shared" ref="AB10:AD10" si="26">0</f>
        <v>0</v>
      </c>
      <c r="AC10" s="59">
        <f t="shared" si="26"/>
        <v>0</v>
      </c>
      <c r="AD10" s="59">
        <f t="shared" si="26"/>
        <v>0</v>
      </c>
    </row>
    <row r="11">
      <c r="A11" s="39">
        <v>10.0</v>
      </c>
      <c r="B11" s="59">
        <f>IF(A11=1, 'Params (waterfall only)'!$B$2, V10)</f>
        <v>9.244234945</v>
      </c>
      <c r="C11" s="59">
        <f>IF(A11=1, 'Params (waterfall only)'!$B$3, W10)</f>
        <v>6.843105768</v>
      </c>
      <c r="D11" s="59">
        <f>IF(A11=1, 'Params (waterfall only)'!$B$4, X10)</f>
        <v>7.404423495</v>
      </c>
      <c r="E11" s="60">
        <f>B11*'Params (waterfall only)'!$B$5</f>
        <v>0.5546540967</v>
      </c>
      <c r="F11" s="60">
        <f>C11*'Params (waterfall only)'!$B$6</f>
        <v>0.5816639903</v>
      </c>
      <c r="G11" s="60">
        <f>D11*'Params (waterfall only)'!$B$7</f>
        <v>0.8144865844</v>
      </c>
      <c r="H11" s="59">
        <f>IF(A11&lt;='Params (waterfall only)'!$B$8, 0, MIN(CFADS!I13, CFADS!I13/'Params (waterfall only)'!$B$10))</f>
        <v>15.72413793</v>
      </c>
      <c r="I11" s="59">
        <f t="shared" si="3"/>
        <v>13.77333326</v>
      </c>
      <c r="J11" s="61">
        <f>MIN(B11, 'Params (waterfall only)'!$B$11*I11)</f>
        <v>9.244234945</v>
      </c>
      <c r="K11" s="61">
        <f>MIN(C11, 'Params (waterfall only)'!$B$12*I11)</f>
        <v>3.16786665</v>
      </c>
      <c r="L11" s="61">
        <f>MIN(D11, 'Params (waterfall only)'!$B$13*I11)</f>
        <v>0.9641333282</v>
      </c>
      <c r="M11" s="59">
        <f t="shared" si="4"/>
        <v>0.3970983364</v>
      </c>
      <c r="N11" s="59">
        <f t="shared" si="5"/>
        <v>0</v>
      </c>
      <c r="O11" s="59">
        <f t="shared" si="6"/>
        <v>0.3970983364</v>
      </c>
      <c r="P11" s="59">
        <f t="shared" si="7"/>
        <v>0.3970983364</v>
      </c>
      <c r="Q11" s="59">
        <f t="shared" si="8"/>
        <v>0</v>
      </c>
      <c r="R11" s="59">
        <f t="shared" si="9"/>
        <v>0</v>
      </c>
      <c r="S11" s="60">
        <f>IF(A11&lt;='Params (waterfall only)'!$B$8,0, J11+N11)</f>
        <v>9.244234945</v>
      </c>
      <c r="T11" s="60">
        <f>IF(A11&lt;='Params (waterfall only)'!$B$8,0, K11+P11)</f>
        <v>3.564964986</v>
      </c>
      <c r="U11" s="60">
        <f>IF(A11&lt;='Params (waterfall only)'!$B$8,0, L11+R11)</f>
        <v>0.9641333282</v>
      </c>
      <c r="V11" s="59">
        <f t="shared" ref="V11:X11" si="27">MAX(0, B11-S11)</f>
        <v>0</v>
      </c>
      <c r="W11" s="59">
        <f t="shared" si="27"/>
        <v>3.278140782</v>
      </c>
      <c r="X11" s="59">
        <f t="shared" si="27"/>
        <v>6.440290166</v>
      </c>
      <c r="Y11" s="60">
        <f t="shared" si="11"/>
        <v>15.72413793</v>
      </c>
      <c r="Z11" s="60">
        <f>IF(Y11=0,"", CFADS!I13/Y11)</f>
        <v>1.45</v>
      </c>
      <c r="AA11" s="59">
        <f>MAX(0, CFADS!I13 - Y11)</f>
        <v>7.075862069</v>
      </c>
      <c r="AB11" s="59">
        <f t="shared" ref="AB11:AD11" si="28">0</f>
        <v>0</v>
      </c>
      <c r="AC11" s="59">
        <f t="shared" si="28"/>
        <v>0</v>
      </c>
      <c r="AD11" s="59">
        <f t="shared" si="28"/>
        <v>0</v>
      </c>
    </row>
    <row r="12">
      <c r="A12" s="39">
        <v>11.0</v>
      </c>
      <c r="B12" s="59">
        <f>IF(A12=1, 'Params (waterfall only)'!$B$2, V11)</f>
        <v>0</v>
      </c>
      <c r="C12" s="59">
        <f>IF(A12=1, 'Params (waterfall only)'!$B$3, W11)</f>
        <v>3.278140782</v>
      </c>
      <c r="D12" s="59">
        <f>IF(A12=1, 'Params (waterfall only)'!$B$4, X11)</f>
        <v>6.440290166</v>
      </c>
      <c r="E12" s="60">
        <f>B12*'Params (waterfall only)'!$B$5</f>
        <v>0</v>
      </c>
      <c r="F12" s="60">
        <f>C12*'Params (waterfall only)'!$B$6</f>
        <v>0.2786419664</v>
      </c>
      <c r="G12" s="60">
        <f>D12*'Params (waterfall only)'!$B$7</f>
        <v>0.7084319183</v>
      </c>
      <c r="H12" s="59">
        <f>IF(A12&lt;='Params (waterfall only)'!$B$8, 0, MIN(CFADS!I14, CFADS!I14/'Params (waterfall only)'!$B$10))</f>
        <v>14.48275862</v>
      </c>
      <c r="I12" s="59">
        <f t="shared" si="3"/>
        <v>13.49568474</v>
      </c>
      <c r="J12" s="61">
        <f>MIN(B12, 'Params (waterfall only)'!$B$11*I12)</f>
        <v>0</v>
      </c>
      <c r="K12" s="61">
        <f>MIN(C12, 'Params (waterfall only)'!$B$12*I12)</f>
        <v>3.104007489</v>
      </c>
      <c r="L12" s="61">
        <f>MIN(D12, 'Params (waterfall only)'!$B$13*I12)</f>
        <v>0.9446979315</v>
      </c>
      <c r="M12" s="59">
        <f t="shared" si="4"/>
        <v>9.446979315</v>
      </c>
      <c r="N12" s="59">
        <f t="shared" si="5"/>
        <v>0</v>
      </c>
      <c r="O12" s="59">
        <f t="shared" si="6"/>
        <v>9.446979315</v>
      </c>
      <c r="P12" s="59">
        <f t="shared" si="7"/>
        <v>0.1741332924</v>
      </c>
      <c r="Q12" s="59">
        <f t="shared" si="8"/>
        <v>9.272846023</v>
      </c>
      <c r="R12" s="59">
        <f t="shared" si="9"/>
        <v>5.495592235</v>
      </c>
      <c r="S12" s="60">
        <f>IF(A12&lt;='Params (waterfall only)'!$B$8,0, J12+N12)</f>
        <v>0</v>
      </c>
      <c r="T12" s="60">
        <f>IF(A12&lt;='Params (waterfall only)'!$B$8,0, K12+P12)</f>
        <v>3.278140782</v>
      </c>
      <c r="U12" s="60">
        <f>IF(A12&lt;='Params (waterfall only)'!$B$8,0, L12+R12)</f>
        <v>6.440290166</v>
      </c>
      <c r="V12" s="59">
        <f t="shared" ref="V12:X12" si="29">MAX(0, B12-S12)</f>
        <v>0</v>
      </c>
      <c r="W12" s="59">
        <f t="shared" si="29"/>
        <v>0</v>
      </c>
      <c r="X12" s="59">
        <f t="shared" si="29"/>
        <v>0</v>
      </c>
      <c r="Y12" s="60">
        <f t="shared" si="11"/>
        <v>10.70550483</v>
      </c>
      <c r="Z12" s="60">
        <f>IF(Y12=0,"", CFADS!I14/Y12)</f>
        <v>1.961607633</v>
      </c>
      <c r="AA12" s="59">
        <f>MAX(0, CFADS!I14 - Y12)</f>
        <v>10.29449517</v>
      </c>
      <c r="AB12" s="59">
        <f t="shared" ref="AB12:AD12" si="30">0</f>
        <v>0</v>
      </c>
      <c r="AC12" s="59">
        <f t="shared" si="30"/>
        <v>0</v>
      </c>
      <c r="AD12" s="59">
        <f t="shared" si="30"/>
        <v>0</v>
      </c>
    </row>
    <row r="13">
      <c r="A13" s="39">
        <v>12.0</v>
      </c>
      <c r="B13" s="59">
        <f>IF(A13=1, 'Params (waterfall only)'!$B$2, V12)</f>
        <v>0</v>
      </c>
      <c r="C13" s="59">
        <f>IF(A13=1, 'Params (waterfall only)'!$B$3, W12)</f>
        <v>0</v>
      </c>
      <c r="D13" s="59">
        <f>IF(A13=1, 'Params (waterfall only)'!$B$4, X12)</f>
        <v>0</v>
      </c>
      <c r="E13" s="60">
        <f>B13*'Params (waterfall only)'!$B$5</f>
        <v>0</v>
      </c>
      <c r="F13" s="60">
        <f>C13*'Params (waterfall only)'!$B$6</f>
        <v>0</v>
      </c>
      <c r="G13" s="60">
        <f>D13*'Params (waterfall only)'!$B$7</f>
        <v>0</v>
      </c>
      <c r="H13" s="59">
        <f>IF(A13&lt;='Params (waterfall only)'!$B$8, 0, MIN(CFADS!I15, CFADS!I15/'Params (waterfall only)'!$B$10))</f>
        <v>13.5862069</v>
      </c>
      <c r="I13" s="59">
        <f t="shared" si="3"/>
        <v>13.5862069</v>
      </c>
      <c r="J13" s="61">
        <f>MIN(B13, 'Params (waterfall only)'!$B$11*I13)</f>
        <v>0</v>
      </c>
      <c r="K13" s="61">
        <f>MIN(C13, 'Params (waterfall only)'!$B$12*I13)</f>
        <v>0</v>
      </c>
      <c r="L13" s="61">
        <f>MIN(D13, 'Params (waterfall only)'!$B$13*I13)</f>
        <v>0</v>
      </c>
      <c r="M13" s="59">
        <f t="shared" si="4"/>
        <v>13.5862069</v>
      </c>
      <c r="N13" s="59">
        <f t="shared" si="5"/>
        <v>0</v>
      </c>
      <c r="O13" s="59">
        <f t="shared" si="6"/>
        <v>13.5862069</v>
      </c>
      <c r="P13" s="59">
        <f t="shared" si="7"/>
        <v>0</v>
      </c>
      <c r="Q13" s="59">
        <f t="shared" si="8"/>
        <v>13.5862069</v>
      </c>
      <c r="R13" s="59">
        <f t="shared" si="9"/>
        <v>0</v>
      </c>
      <c r="S13" s="60">
        <f>IF(A13&lt;='Params (waterfall only)'!$B$8,0, J13+N13)</f>
        <v>0</v>
      </c>
      <c r="T13" s="60">
        <f>IF(A13&lt;='Params (waterfall only)'!$B$8,0, K13+P13)</f>
        <v>0</v>
      </c>
      <c r="U13" s="60">
        <f>IF(A13&lt;='Params (waterfall only)'!$B$8,0, L13+R13)</f>
        <v>0</v>
      </c>
      <c r="V13" s="59">
        <f t="shared" ref="V13:X13" si="31">MAX(0, B13-S13)</f>
        <v>0</v>
      </c>
      <c r="W13" s="59">
        <f t="shared" si="31"/>
        <v>0</v>
      </c>
      <c r="X13" s="59">
        <f t="shared" si="31"/>
        <v>0</v>
      </c>
      <c r="Y13" s="60">
        <f t="shared" si="11"/>
        <v>0</v>
      </c>
      <c r="Z13" s="60" t="str">
        <f>IF(Y13=0,"", CFADS!I15/Y13)</f>
        <v/>
      </c>
      <c r="AA13" s="59">
        <f>MAX(0, CFADS!I15 - Y13)</f>
        <v>19.7</v>
      </c>
      <c r="AB13" s="59">
        <f t="shared" ref="AB13:AD13" si="32">0</f>
        <v>0</v>
      </c>
      <c r="AC13" s="59">
        <f t="shared" si="32"/>
        <v>0</v>
      </c>
      <c r="AD13" s="59">
        <f t="shared" si="32"/>
        <v>0</v>
      </c>
    </row>
    <row r="14">
      <c r="A14" s="39">
        <v>13.0</v>
      </c>
      <c r="B14" s="59">
        <f>IF(A14=1, 'Params (waterfall only)'!$B$2, V13)</f>
        <v>0</v>
      </c>
      <c r="C14" s="59">
        <f>IF(A14=1, 'Params (waterfall only)'!$B$3, W13)</f>
        <v>0</v>
      </c>
      <c r="D14" s="59">
        <f>IF(A14=1, 'Params (waterfall only)'!$B$4, X13)</f>
        <v>0</v>
      </c>
      <c r="E14" s="60">
        <f>B14*'Params (waterfall only)'!$B$5</f>
        <v>0</v>
      </c>
      <c r="F14" s="60">
        <f>C14*'Params (waterfall only)'!$B$6</f>
        <v>0</v>
      </c>
      <c r="G14" s="60">
        <f>D14*'Params (waterfall only)'!$B$7</f>
        <v>0</v>
      </c>
      <c r="H14" s="59">
        <f>IF(A14&lt;='Params (waterfall only)'!$B$8, 0, MIN(CFADS!I16, CFADS!I16/'Params (waterfall only)'!$B$10))</f>
        <v>12</v>
      </c>
      <c r="I14" s="59">
        <f t="shared" si="3"/>
        <v>12</v>
      </c>
      <c r="J14" s="61">
        <f>MIN(B14, 'Params (waterfall only)'!$B$11*I14)</f>
        <v>0</v>
      </c>
      <c r="K14" s="61">
        <f>MIN(C14, 'Params (waterfall only)'!$B$12*I14)</f>
        <v>0</v>
      </c>
      <c r="L14" s="61">
        <f>MIN(D14, 'Params (waterfall only)'!$B$13*I14)</f>
        <v>0</v>
      </c>
      <c r="M14" s="59">
        <f t="shared" si="4"/>
        <v>12</v>
      </c>
      <c r="N14" s="59">
        <f t="shared" si="5"/>
        <v>0</v>
      </c>
      <c r="O14" s="59">
        <f t="shared" si="6"/>
        <v>12</v>
      </c>
      <c r="P14" s="59">
        <f t="shared" si="7"/>
        <v>0</v>
      </c>
      <c r="Q14" s="59">
        <f t="shared" si="8"/>
        <v>12</v>
      </c>
      <c r="R14" s="59">
        <f t="shared" si="9"/>
        <v>0</v>
      </c>
      <c r="S14" s="60">
        <f>IF(A14&lt;='Params (waterfall only)'!$B$8,0, J14+N14)</f>
        <v>0</v>
      </c>
      <c r="T14" s="60">
        <f>IF(A14&lt;='Params (waterfall only)'!$B$8,0, K14+P14)</f>
        <v>0</v>
      </c>
      <c r="U14" s="60">
        <f>IF(A14&lt;='Params (waterfall only)'!$B$8,0, L14+R14)</f>
        <v>0</v>
      </c>
      <c r="V14" s="59">
        <f t="shared" ref="V14:X14" si="33">MAX(0, B14-S14)</f>
        <v>0</v>
      </c>
      <c r="W14" s="59">
        <f t="shared" si="33"/>
        <v>0</v>
      </c>
      <c r="X14" s="59">
        <f t="shared" si="33"/>
        <v>0</v>
      </c>
      <c r="Y14" s="60">
        <f t="shared" si="11"/>
        <v>0</v>
      </c>
      <c r="Z14" s="60" t="str">
        <f>IF(Y14=0,"", CFADS!I16/Y14)</f>
        <v/>
      </c>
      <c r="AA14" s="59">
        <f>MAX(0, CFADS!I16 - Y14)</f>
        <v>17.4</v>
      </c>
      <c r="AB14" s="59">
        <f t="shared" ref="AB14:AD14" si="34">0</f>
        <v>0</v>
      </c>
      <c r="AC14" s="59">
        <f t="shared" si="34"/>
        <v>0</v>
      </c>
      <c r="AD14" s="59">
        <f t="shared" si="34"/>
        <v>0</v>
      </c>
    </row>
    <row r="15">
      <c r="A15" s="62">
        <v>14.0</v>
      </c>
      <c r="B15" s="59">
        <f>IF(A15=1, 'Params (waterfall only)'!$B$2, V14)</f>
        <v>0</v>
      </c>
      <c r="C15" s="59">
        <f>IF(A15=1, 'Params (waterfall only)'!$B$3, W14)</f>
        <v>0</v>
      </c>
      <c r="D15" s="59">
        <f>IF(A15=1, 'Params (waterfall only)'!$B$4, X14)</f>
        <v>0</v>
      </c>
      <c r="E15" s="60">
        <f>B15*'Params (waterfall only)'!$B$5</f>
        <v>0</v>
      </c>
      <c r="F15" s="60">
        <f>C15*'Params (waterfall only)'!$B$6</f>
        <v>0</v>
      </c>
      <c r="G15" s="60">
        <f>D15*'Params (waterfall only)'!$B$7</f>
        <v>0</v>
      </c>
      <c r="H15" s="59">
        <f>IF(A15&lt;='Params (waterfall only)'!$B$8, 0, MIN(CFADS!I17, CFADS!I17/'Params (waterfall only)'!$B$10))</f>
        <v>10.48275862</v>
      </c>
      <c r="I15" s="59">
        <f t="shared" si="3"/>
        <v>10.48275862</v>
      </c>
      <c r="J15" s="61">
        <f>MIN(B15, 'Params (waterfall only)'!$B$11*I15)</f>
        <v>0</v>
      </c>
      <c r="K15" s="61">
        <f>MIN(C15, 'Params (waterfall only)'!$B$12*I15)</f>
        <v>0</v>
      </c>
      <c r="L15" s="61">
        <f>MIN(D15, 'Params (waterfall only)'!$B$13*I15)</f>
        <v>0</v>
      </c>
      <c r="M15" s="59">
        <f t="shared" si="4"/>
        <v>10.48275862</v>
      </c>
      <c r="N15" s="59">
        <f t="shared" si="5"/>
        <v>0</v>
      </c>
      <c r="O15" s="59">
        <f t="shared" si="6"/>
        <v>10.48275862</v>
      </c>
      <c r="P15" s="59">
        <f t="shared" si="7"/>
        <v>0</v>
      </c>
      <c r="Q15" s="59">
        <f t="shared" si="8"/>
        <v>10.48275862</v>
      </c>
      <c r="R15" s="59">
        <f t="shared" si="9"/>
        <v>0</v>
      </c>
      <c r="S15" s="60">
        <f>IF(A15&lt;='Params (waterfall only)'!$B$8,0, J15+N15)</f>
        <v>0</v>
      </c>
      <c r="T15" s="60">
        <f>IF(A15&lt;='Params (waterfall only)'!$B$8,0, K15+P15)</f>
        <v>0</v>
      </c>
      <c r="U15" s="60">
        <f>IF(A15&lt;='Params (waterfall only)'!$B$8,0, L15+R15)</f>
        <v>0</v>
      </c>
      <c r="V15" s="59">
        <f t="shared" ref="V15:X15" si="35">MAX(0, B15-S15)</f>
        <v>0</v>
      </c>
      <c r="W15" s="59">
        <f t="shared" si="35"/>
        <v>0</v>
      </c>
      <c r="X15" s="59">
        <f t="shared" si="35"/>
        <v>0</v>
      </c>
      <c r="Y15" s="60">
        <f t="shared" si="11"/>
        <v>0</v>
      </c>
      <c r="Z15" s="60" t="str">
        <f>IF(Y15=0,"", CFADS!I17/Y15)</f>
        <v/>
      </c>
      <c r="AA15" s="59">
        <f>MAX(0, CFADS!I17 - Y15)</f>
        <v>15.2</v>
      </c>
      <c r="AB15" s="59">
        <f t="shared" ref="AB15:AD15" si="36">0</f>
        <v>0</v>
      </c>
      <c r="AC15" s="59">
        <f t="shared" si="36"/>
        <v>0</v>
      </c>
      <c r="AD15" s="59">
        <f t="shared" si="36"/>
        <v>0</v>
      </c>
    </row>
    <row r="16">
      <c r="A16" s="62">
        <v>15.0</v>
      </c>
      <c r="B16" s="59">
        <f>IF(A16=1, 'Params (waterfall only)'!$B$2, V15)</f>
        <v>0</v>
      </c>
      <c r="C16" s="59">
        <f>IF(A16=1, 'Params (waterfall only)'!$B$3, W15)</f>
        <v>0</v>
      </c>
      <c r="D16" s="59">
        <f>IF(A16=1, 'Params (waterfall only)'!$B$4, X15)</f>
        <v>0</v>
      </c>
      <c r="E16" s="60">
        <f>B16*'Params (waterfall only)'!$B$5</f>
        <v>0</v>
      </c>
      <c r="F16" s="60">
        <f>C16*'Params (waterfall only)'!$B$6</f>
        <v>0</v>
      </c>
      <c r="G16" s="60">
        <f>D16*'Params (waterfall only)'!$B$7</f>
        <v>0</v>
      </c>
      <c r="H16" s="59">
        <f>IF(A16&lt;='Params (waterfall only)'!$B$8, 0, MIN(CFADS!I18, CFADS!I18/'Params (waterfall only)'!$B$10))</f>
        <v>8.965517241</v>
      </c>
      <c r="I16" s="59">
        <f t="shared" si="3"/>
        <v>8.965517241</v>
      </c>
      <c r="J16" s="61">
        <f>MIN(B16, 'Params (waterfall only)'!$B$11*I16)</f>
        <v>0</v>
      </c>
      <c r="K16" s="61">
        <f>MIN(C16, 'Params (waterfall only)'!$B$12*I16)</f>
        <v>0</v>
      </c>
      <c r="L16" s="61">
        <f>MIN(D16, 'Params (waterfall only)'!$B$13*I16)</f>
        <v>0</v>
      </c>
      <c r="M16" s="59">
        <f t="shared" si="4"/>
        <v>8.965517241</v>
      </c>
      <c r="N16" s="59">
        <f t="shared" si="5"/>
        <v>0</v>
      </c>
      <c r="O16" s="59">
        <f t="shared" si="6"/>
        <v>8.965517241</v>
      </c>
      <c r="P16" s="59">
        <f t="shared" si="7"/>
        <v>0</v>
      </c>
      <c r="Q16" s="59">
        <f t="shared" si="8"/>
        <v>8.965517241</v>
      </c>
      <c r="R16" s="59">
        <f t="shared" si="9"/>
        <v>0</v>
      </c>
      <c r="S16" s="60">
        <f>IF(A16&lt;='Params (waterfall only)'!$B$8,0, J16+N16)</f>
        <v>0</v>
      </c>
      <c r="T16" s="63">
        <v>0.0</v>
      </c>
      <c r="U16" s="60">
        <f>IF(A16&lt;='Params (waterfall only)'!$B$8,0, L16+R16+AE16)</f>
        <v>0</v>
      </c>
      <c r="V16" s="59">
        <f t="shared" ref="V16:X16" si="37">MAX(0, B16-S16)</f>
        <v>0</v>
      </c>
      <c r="W16" s="59">
        <f t="shared" si="37"/>
        <v>0</v>
      </c>
      <c r="X16" s="59">
        <f t="shared" si="37"/>
        <v>0</v>
      </c>
      <c r="Y16" s="60">
        <f t="shared" si="11"/>
        <v>0</v>
      </c>
      <c r="Z16" s="60" t="str">
        <f>IF(Y16=0,"", CFADS!I18/Y16)</f>
        <v/>
      </c>
      <c r="AA16" s="59">
        <f>MAX(0, CFADS!I18 - Y16)</f>
        <v>13</v>
      </c>
      <c r="AB16" s="59" t="str">
        <f>MIN(AB16, B16-S16)</f>
        <v>#REF!</v>
      </c>
      <c r="AC16" s="59" t="str">
        <f>MIN(AB16-AC16, C16-T16)</f>
        <v>#REF!</v>
      </c>
      <c r="AD16" s="59" t="str">
        <f>MIN(AB16-AC16-AD16, D16-U16)</f>
        <v>#REF!</v>
      </c>
    </row>
    <row r="17">
      <c r="E17" s="40">
        <f t="shared" ref="E17:G17" si="38">SUM(E2:E16)</f>
        <v>20.98215307</v>
      </c>
      <c r="F17" s="40">
        <f t="shared" si="38"/>
        <v>13.28019179</v>
      </c>
      <c r="G17" s="40">
        <f t="shared" si="38"/>
        <v>11.68315998</v>
      </c>
      <c r="S17" s="28"/>
      <c r="T17" s="28"/>
      <c r="U17" s="28"/>
      <c r="Y17" s="40">
        <f>SUM(Y2:Y16)</f>
        <v>117.9455048</v>
      </c>
      <c r="Z17" s="40">
        <f>average(Z2:Z16)</f>
        <v>1.029158304</v>
      </c>
    </row>
    <row r="19">
      <c r="I19" s="64"/>
      <c r="J19" s="56" t="s">
        <v>336</v>
      </c>
      <c r="K19" s="64"/>
      <c r="L19" s="64"/>
      <c r="M19" s="64"/>
      <c r="N19" s="64"/>
      <c r="O19" s="64"/>
    </row>
    <row r="20">
      <c r="I20" s="64"/>
      <c r="J20" s="64"/>
      <c r="K20" s="64"/>
      <c r="L20" s="64"/>
      <c r="M20" s="64"/>
      <c r="N20" s="64"/>
      <c r="O20" s="64"/>
    </row>
    <row r="21">
      <c r="I21" s="64"/>
      <c r="J21" s="56" t="s">
        <v>337</v>
      </c>
      <c r="K21" s="64"/>
      <c r="L21" s="64"/>
      <c r="M21" s="64"/>
      <c r="N21" s="64"/>
      <c r="O21" s="64"/>
    </row>
    <row r="22">
      <c r="I22" s="64"/>
      <c r="J22" s="64"/>
      <c r="K22" s="64"/>
      <c r="L22" s="64"/>
      <c r="M22" s="64"/>
      <c r="N22" s="64"/>
      <c r="O22" s="64"/>
    </row>
    <row r="23">
      <c r="I23" s="64"/>
      <c r="J23" s="56"/>
      <c r="K23" s="64"/>
      <c r="L23" s="64"/>
      <c r="M23" s="64"/>
      <c r="N23" s="64"/>
      <c r="O23" s="64"/>
    </row>
    <row r="24">
      <c r="I24" s="64"/>
      <c r="N24" s="64"/>
      <c r="O24" s="64"/>
    </row>
    <row r="25">
      <c r="I25" s="64"/>
      <c r="N25" s="64"/>
      <c r="O25" s="64"/>
    </row>
    <row r="26">
      <c r="I26" s="64"/>
      <c r="N26" s="64"/>
      <c r="O26" s="64"/>
    </row>
    <row r="27">
      <c r="I27" s="64"/>
      <c r="N27" s="64"/>
      <c r="O27" s="64"/>
    </row>
    <row r="28">
      <c r="I28" s="64"/>
      <c r="N28" s="64"/>
      <c r="O28" s="64"/>
    </row>
    <row r="29">
      <c r="I29" s="64"/>
      <c r="N29" s="64"/>
      <c r="O29" s="64"/>
    </row>
    <row r="30">
      <c r="I30" s="64"/>
      <c r="N30" s="64"/>
      <c r="O30" s="64"/>
    </row>
    <row r="31"/>
    <row r="32"/>
    <row r="33"/>
    <row r="34">
      <c r="J34" s="1" t="s">
        <v>338</v>
      </c>
      <c r="K34" s="1" t="s">
        <v>339</v>
      </c>
      <c r="M34" s="1" t="s">
        <v>340</v>
      </c>
      <c r="O34" s="1"/>
      <c r="P34" s="1"/>
      <c r="R34" s="1" t="s">
        <v>341</v>
      </c>
    </row>
    <row r="35">
      <c r="J35" s="8">
        <v>1.0</v>
      </c>
      <c r="K35" s="8" t="s">
        <v>132</v>
      </c>
      <c r="M35" s="8" t="s">
        <v>342</v>
      </c>
      <c r="O35" s="8"/>
      <c r="P35" s="8"/>
      <c r="R35" s="8" t="s">
        <v>343</v>
      </c>
    </row>
    <row r="36">
      <c r="J36" s="8">
        <v>2.0</v>
      </c>
      <c r="K36" s="8" t="s">
        <v>344</v>
      </c>
      <c r="M36" s="21" t="s">
        <v>345</v>
      </c>
      <c r="O36" s="8"/>
      <c r="P36" s="8"/>
      <c r="R36" s="8" t="s">
        <v>346</v>
      </c>
    </row>
    <row r="37">
      <c r="J37" s="8">
        <v>3.0</v>
      </c>
      <c r="K37" s="8" t="s">
        <v>347</v>
      </c>
      <c r="M37" s="21" t="s">
        <v>348</v>
      </c>
      <c r="O37" s="8"/>
      <c r="P37" s="8"/>
      <c r="R37" s="8" t="s">
        <v>349</v>
      </c>
    </row>
    <row r="38">
      <c r="J38" s="8">
        <v>4.0</v>
      </c>
      <c r="K38" s="8" t="s">
        <v>350</v>
      </c>
      <c r="M38" s="21" t="s">
        <v>351</v>
      </c>
      <c r="O38" s="8"/>
      <c r="P38" s="8"/>
      <c r="R38" s="8" t="s">
        <v>352</v>
      </c>
    </row>
    <row r="39">
      <c r="J39" s="8">
        <v>5.0</v>
      </c>
      <c r="K39" s="8" t="s">
        <v>353</v>
      </c>
      <c r="M39" s="21" t="s">
        <v>354</v>
      </c>
      <c r="O39" s="8"/>
      <c r="P39" s="8"/>
      <c r="R39" s="8" t="s">
        <v>355</v>
      </c>
    </row>
    <row r="40">
      <c r="J40" s="8">
        <v>6.0</v>
      </c>
      <c r="K40" s="8" t="s">
        <v>356</v>
      </c>
      <c r="M40" s="21" t="s">
        <v>357</v>
      </c>
      <c r="O40" s="8"/>
      <c r="P40" s="8"/>
      <c r="R40" s="8" t="s">
        <v>358</v>
      </c>
    </row>
    <row r="41">
      <c r="J41" s="8">
        <v>7.0</v>
      </c>
      <c r="K41" s="8" t="s">
        <v>359</v>
      </c>
      <c r="M41" s="21" t="s">
        <v>360</v>
      </c>
      <c r="O41" s="8"/>
      <c r="P41" s="8"/>
      <c r="R41" s="8" t="s">
        <v>361</v>
      </c>
    </row>
    <row r="42"/>
    <row r="43"/>
    <row r="44">
      <c r="J44" s="56" t="s">
        <v>362</v>
      </c>
    </row>
    <row r="45">
      <c r="J45" s="56" t="s">
        <v>363</v>
      </c>
    </row>
    <row r="46">
      <c r="J46" s="56" t="s">
        <v>364</v>
      </c>
    </row>
    <row r="47">
      <c r="J47" s="64"/>
    </row>
    <row r="48"/>
    <row r="49">
      <c r="J49" s="56" t="s">
        <v>365</v>
      </c>
      <c r="K49" s="64"/>
      <c r="L49" s="64"/>
      <c r="M49" s="64"/>
    </row>
    <row r="50">
      <c r="J50" s="64"/>
      <c r="K50" s="64"/>
      <c r="L50" s="64"/>
      <c r="M50" s="64"/>
    </row>
    <row r="51">
      <c r="J51" s="65" t="s">
        <v>1</v>
      </c>
      <c r="K51" s="65" t="s">
        <v>366</v>
      </c>
      <c r="M51" s="64"/>
      <c r="N51" s="65" t="s">
        <v>367</v>
      </c>
    </row>
    <row r="52">
      <c r="J52" s="56" t="s">
        <v>368</v>
      </c>
      <c r="K52" s="56" t="s">
        <v>369</v>
      </c>
      <c r="M52" s="64"/>
      <c r="N52" s="56" t="s">
        <v>370</v>
      </c>
    </row>
    <row r="53">
      <c r="J53" s="56" t="s">
        <v>371</v>
      </c>
      <c r="K53" s="56" t="s">
        <v>372</v>
      </c>
      <c r="M53" s="64"/>
      <c r="N53" s="56" t="s">
        <v>373</v>
      </c>
    </row>
    <row r="54">
      <c r="J54" s="56" t="s">
        <v>374</v>
      </c>
      <c r="K54" s="56" t="s">
        <v>375</v>
      </c>
      <c r="M54" s="64"/>
      <c r="N54" s="56" t="s">
        <v>376</v>
      </c>
    </row>
    <row r="55">
      <c r="J55" s="56" t="s">
        <v>377</v>
      </c>
      <c r="K55" s="56" t="s">
        <v>378</v>
      </c>
      <c r="M55" s="64"/>
      <c r="N55" s="56" t="s">
        <v>379</v>
      </c>
    </row>
    <row r="56">
      <c r="J56" s="64"/>
      <c r="K56" s="64"/>
      <c r="M56" s="64"/>
      <c r="N56" s="64"/>
    </row>
    <row r="57">
      <c r="J57" s="56" t="s">
        <v>380</v>
      </c>
      <c r="K57" s="64"/>
      <c r="M57" s="64"/>
      <c r="N57" s="64"/>
    </row>
    <row r="58">
      <c r="J58" s="56" t="s">
        <v>381</v>
      </c>
      <c r="K58" s="64"/>
      <c r="M58" s="64"/>
      <c r="N58" s="64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2.25"/>
    <col customWidth="1" min="3" max="26" width="7.63"/>
  </cols>
  <sheetData>
    <row r="1">
      <c r="A1" s="58" t="s">
        <v>382</v>
      </c>
      <c r="B1" s="58" t="s">
        <v>383</v>
      </c>
    </row>
    <row r="2">
      <c r="A2" s="39" t="s">
        <v>384</v>
      </c>
      <c r="B2" s="28">
        <f>'Debt Service'!C29</f>
        <v>43.2</v>
      </c>
      <c r="C2" s="39">
        <f>B2/B2+B3+B3</f>
        <v>37</v>
      </c>
    </row>
    <row r="3">
      <c r="A3" s="39" t="s">
        <v>385</v>
      </c>
      <c r="B3" s="28">
        <f>'Debt Service'!C30</f>
        <v>18</v>
      </c>
    </row>
    <row r="4">
      <c r="A4" s="39" t="s">
        <v>386</v>
      </c>
      <c r="B4" s="28">
        <f>'Debt Service'!C31</f>
        <v>10.8</v>
      </c>
    </row>
    <row r="5">
      <c r="A5" s="39" t="s">
        <v>387</v>
      </c>
      <c r="B5" s="66">
        <f>Intro!D18</f>
        <v>0.06</v>
      </c>
    </row>
    <row r="6">
      <c r="A6" s="39" t="s">
        <v>388</v>
      </c>
      <c r="B6" s="66">
        <f>Intro!D19</f>
        <v>0.085</v>
      </c>
    </row>
    <row r="7">
      <c r="A7" s="39" t="s">
        <v>389</v>
      </c>
      <c r="B7" s="66">
        <f>Intro!D20</f>
        <v>0.11</v>
      </c>
    </row>
    <row r="8">
      <c r="A8" s="39" t="s">
        <v>390</v>
      </c>
      <c r="B8" s="28">
        <f>Intro!B23</f>
        <v>4</v>
      </c>
    </row>
    <row r="9">
      <c r="A9" s="39" t="s">
        <v>391</v>
      </c>
      <c r="B9" s="28">
        <f>Intro!B24</f>
        <v>15</v>
      </c>
    </row>
    <row r="10">
      <c r="A10" s="39" t="s">
        <v>392</v>
      </c>
      <c r="B10" s="28">
        <v>1.45</v>
      </c>
    </row>
    <row r="11">
      <c r="A11" s="39" t="s">
        <v>393</v>
      </c>
      <c r="B11" s="28">
        <v>0.7</v>
      </c>
    </row>
    <row r="12">
      <c r="A12" s="39" t="s">
        <v>394</v>
      </c>
      <c r="B12" s="28">
        <v>0.23</v>
      </c>
    </row>
    <row r="13">
      <c r="A13" s="39" t="s">
        <v>395</v>
      </c>
      <c r="B13" s="28">
        <v>0.07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9" max="9" width="16.13"/>
    <col customWidth="1" min="10" max="10" width="23.0"/>
    <col customWidth="1" min="11" max="11" width="30.25"/>
    <col customWidth="1" min="12" max="12" width="27.38"/>
    <col customWidth="1" min="13" max="13" width="28.75"/>
    <col customWidth="1" min="15" max="15" width="17.13"/>
  </cols>
  <sheetData>
    <row r="3">
      <c r="D3" s="11" t="s">
        <v>60</v>
      </c>
      <c r="E3" s="11" t="s">
        <v>396</v>
      </c>
      <c r="F3" s="11" t="s">
        <v>397</v>
      </c>
      <c r="G3" s="11" t="s">
        <v>398</v>
      </c>
      <c r="I3" s="1" t="s">
        <v>184</v>
      </c>
      <c r="J3" s="50" t="s">
        <v>399</v>
      </c>
      <c r="K3" s="50" t="s">
        <v>400</v>
      </c>
      <c r="L3" s="50" t="s">
        <v>401</v>
      </c>
      <c r="M3" s="50" t="s">
        <v>402</v>
      </c>
    </row>
    <row r="4">
      <c r="D4" s="6">
        <v>0.0</v>
      </c>
      <c r="E4" s="67">
        <f>-'Debt Service'!C29</f>
        <v>-43.2</v>
      </c>
      <c r="F4" s="67">
        <f>-'Debt Service'!C30</f>
        <v>-18</v>
      </c>
      <c r="G4" s="67">
        <f>-'Debt Service'!C31</f>
        <v>-10.8</v>
      </c>
      <c r="I4" s="8" t="s">
        <v>55</v>
      </c>
      <c r="J4" s="68">
        <f>E4</f>
        <v>-43.2</v>
      </c>
      <c r="K4" s="28"/>
      <c r="L4" s="20" t="s">
        <v>403</v>
      </c>
      <c r="M4" s="20" t="s">
        <v>404</v>
      </c>
    </row>
    <row r="5">
      <c r="D5" s="6">
        <v>1.0</v>
      </c>
      <c r="E5" s="67">
        <f>'Debt Service'!D3+'Debt Service'!E3</f>
        <v>2.592</v>
      </c>
      <c r="F5" s="67">
        <f>'Debt Service'!F3+'Debt Service'!G3</f>
        <v>1.53</v>
      </c>
      <c r="G5" s="67">
        <f>'Debt Service'!H3+'Debt Service'!I3</f>
        <v>1.188</v>
      </c>
      <c r="I5" s="8" t="s">
        <v>198</v>
      </c>
      <c r="J5" s="68">
        <f>F4</f>
        <v>-18</v>
      </c>
      <c r="K5" s="28"/>
      <c r="L5" s="20" t="s">
        <v>405</v>
      </c>
      <c r="M5" s="20" t="s">
        <v>406</v>
      </c>
    </row>
    <row r="6">
      <c r="D6" s="6">
        <v>2.0</v>
      </c>
      <c r="E6" s="67">
        <f>'Debt Service'!D4+'Debt Service'!E4</f>
        <v>2.592</v>
      </c>
      <c r="F6" s="67">
        <f>'Debt Service'!F4+'Debt Service'!G4</f>
        <v>1.53</v>
      </c>
      <c r="G6" s="67">
        <f>'Debt Service'!H4+'Debt Service'!I4</f>
        <v>1.188</v>
      </c>
      <c r="I6" s="8" t="s">
        <v>407</v>
      </c>
      <c r="J6" s="68">
        <f>G4</f>
        <v>-10.8</v>
      </c>
      <c r="K6" s="28"/>
      <c r="L6" s="20" t="s">
        <v>408</v>
      </c>
      <c r="M6" s="20" t="s">
        <v>409</v>
      </c>
    </row>
    <row r="7">
      <c r="D7" s="6">
        <v>3.0</v>
      </c>
      <c r="E7" s="67">
        <f>'Debt Service'!D5+'Debt Service'!E5</f>
        <v>2.592</v>
      </c>
      <c r="F7" s="67">
        <f>'Debt Service'!F5+'Debt Service'!G5</f>
        <v>1.53</v>
      </c>
      <c r="G7" s="67">
        <f>'Debt Service'!H5+'Debt Service'!I5</f>
        <v>1.188</v>
      </c>
    </row>
    <row r="8">
      <c r="D8" s="6">
        <v>4.0</v>
      </c>
      <c r="E8" s="67">
        <f>'Debt Service'!D6+'Debt Service'!E6</f>
        <v>2.592</v>
      </c>
      <c r="F8" s="67">
        <f>'Debt Service'!F6+'Debt Service'!G6</f>
        <v>1.53</v>
      </c>
      <c r="G8" s="67">
        <f>'Debt Service'!H6+'Debt Service'!I6</f>
        <v>1.188</v>
      </c>
    </row>
    <row r="9">
      <c r="D9" s="6">
        <v>5.0</v>
      </c>
      <c r="E9" s="67">
        <f>'Debt Service'!D7+'Debt Service'!E7</f>
        <v>4.861206897</v>
      </c>
      <c r="F9" s="67">
        <f>'Debt Service'!F7+'Debt Service'!G7</f>
        <v>2.275596552</v>
      </c>
      <c r="G9" s="67">
        <f>'Debt Service'!H7+'Debt Service'!I7</f>
        <v>1.41492069</v>
      </c>
    </row>
    <row r="10">
      <c r="D10" s="6">
        <v>6.0</v>
      </c>
      <c r="E10" s="67">
        <f>'Debt Service'!D8+'Debt Service'!E8</f>
        <v>7.585645336</v>
      </c>
      <c r="F10" s="67">
        <f>'Debt Service'!F8+'Debt Service'!G8</f>
        <v>3.152129268</v>
      </c>
      <c r="G10" s="67">
        <f>'Debt Service'!H8+'Debt Service'!I8</f>
        <v>1.676018499</v>
      </c>
      <c r="I10" s="1" t="s">
        <v>184</v>
      </c>
      <c r="J10" s="1" t="s">
        <v>410</v>
      </c>
      <c r="K10" s="1" t="s">
        <v>411</v>
      </c>
      <c r="L10" s="1" t="s">
        <v>412</v>
      </c>
      <c r="M10" s="1" t="s">
        <v>189</v>
      </c>
    </row>
    <row r="11">
      <c r="D11" s="6">
        <v>7.0</v>
      </c>
      <c r="E11" s="67">
        <f>'Debt Service'!D9+'Debt Service'!E9</f>
        <v>9.61240631</v>
      </c>
      <c r="F11" s="67">
        <f>'Debt Service'!F9+'Debt Service'!G9</f>
        <v>3.775927392</v>
      </c>
      <c r="G11" s="67">
        <f>'Debt Service'!H9+'Debt Service'!I9</f>
        <v>1.853045608</v>
      </c>
      <c r="I11" s="8" t="s">
        <v>55</v>
      </c>
      <c r="J11" s="20" t="s">
        <v>413</v>
      </c>
      <c r="K11" s="8" t="s">
        <v>414</v>
      </c>
      <c r="L11" s="8" t="s">
        <v>415</v>
      </c>
      <c r="M11" s="8" t="s">
        <v>416</v>
      </c>
    </row>
    <row r="12">
      <c r="D12" s="6">
        <v>8.0</v>
      </c>
      <c r="E12" s="67">
        <f>'Debt Service'!D10+'Debt Service'!E10</f>
        <v>10.64696876</v>
      </c>
      <c r="F12" s="67">
        <f>'Debt Service'!F10+'Debt Service'!G10</f>
        <v>4.054540778</v>
      </c>
      <c r="G12" s="67">
        <f>'Debt Service'!H10+'Debt Service'!I10</f>
        <v>1.91918012</v>
      </c>
      <c r="I12" s="8" t="s">
        <v>198</v>
      </c>
      <c r="J12" s="20" t="s">
        <v>417</v>
      </c>
      <c r="K12" s="8" t="s">
        <v>418</v>
      </c>
      <c r="L12" s="8" t="s">
        <v>419</v>
      </c>
      <c r="M12" s="8" t="s">
        <v>420</v>
      </c>
    </row>
    <row r="13">
      <c r="D13" s="6">
        <v>9.0</v>
      </c>
      <c r="E13" s="67">
        <f>'Debt Service'!D11+'Debt Service'!E11</f>
        <v>11.30903672</v>
      </c>
      <c r="F13" s="67">
        <f>'Debt Service'!F11+'Debt Service'!G11</f>
        <v>4.198586072</v>
      </c>
      <c r="G13" s="67">
        <f>'Debt Service'!H11+'Debt Service'!I11</f>
        <v>1.940653067</v>
      </c>
      <c r="I13" s="8" t="s">
        <v>407</v>
      </c>
      <c r="J13" s="20" t="s">
        <v>421</v>
      </c>
      <c r="K13" s="8" t="s">
        <v>422</v>
      </c>
      <c r="L13" s="8" t="s">
        <v>423</v>
      </c>
      <c r="M13" s="8" t="s">
        <v>424</v>
      </c>
    </row>
    <row r="14">
      <c r="D14" s="6">
        <v>10.0</v>
      </c>
      <c r="E14" s="67">
        <f>'Debt Service'!D12+'Debt Service'!E12</f>
        <v>9.798889042</v>
      </c>
      <c r="F14" s="67">
        <f>'Debt Service'!F12+'Debt Service'!G12</f>
        <v>4.146628976</v>
      </c>
      <c r="G14" s="67">
        <f>'Debt Service'!H12+'Debt Service'!I12</f>
        <v>1.778619913</v>
      </c>
    </row>
    <row r="15">
      <c r="D15" s="6">
        <v>11.0</v>
      </c>
      <c r="E15" s="67">
        <f>'Debt Service'!D13+'Debt Service'!E13</f>
        <v>0</v>
      </c>
      <c r="F15" s="67">
        <f>'Debt Service'!F13+'Debt Service'!G13</f>
        <v>3.556782748</v>
      </c>
      <c r="G15" s="67">
        <f>'Debt Service'!H13+'Debt Service'!I13</f>
        <v>7.148722085</v>
      </c>
    </row>
    <row r="16">
      <c r="D16" s="6">
        <v>12.0</v>
      </c>
      <c r="E16" s="67">
        <f>'Debt Service'!D14+'Debt Service'!E14</f>
        <v>0</v>
      </c>
      <c r="F16" s="67">
        <f>'Debt Service'!F14+'Debt Service'!G14</f>
        <v>0</v>
      </c>
      <c r="G16" s="67">
        <f>'Debt Service'!H14+'Debt Service'!I14</f>
        <v>0</v>
      </c>
    </row>
    <row r="17">
      <c r="D17" s="6">
        <v>13.0</v>
      </c>
      <c r="E17" s="67">
        <f>'Debt Service'!D15+'Debt Service'!E15</f>
        <v>0</v>
      </c>
      <c r="F17" s="67">
        <f>'Debt Service'!F15+'Debt Service'!G15</f>
        <v>0</v>
      </c>
      <c r="G17" s="67">
        <f>'Debt Service'!H15+'Debt Service'!I15</f>
        <v>0</v>
      </c>
    </row>
    <row r="18">
      <c r="D18" s="6">
        <v>14.0</v>
      </c>
      <c r="E18" s="67">
        <f>'Debt Service'!D16+'Debt Service'!E16</f>
        <v>0</v>
      </c>
      <c r="F18" s="67">
        <f>'Debt Service'!F16+'Debt Service'!G16</f>
        <v>0</v>
      </c>
      <c r="G18" s="67">
        <f>'Debt Service'!H16+'Debt Service'!I16</f>
        <v>0</v>
      </c>
      <c r="I18" s="1" t="s">
        <v>248</v>
      </c>
      <c r="J18" s="50" t="s">
        <v>425</v>
      </c>
      <c r="K18" s="1" t="s">
        <v>189</v>
      </c>
    </row>
    <row r="19">
      <c r="D19" s="6">
        <v>15.0</v>
      </c>
      <c r="E19" s="67">
        <f>'Debt Service'!D17+'Debt Service'!E17</f>
        <v>0</v>
      </c>
      <c r="F19" s="67">
        <f>'Debt Service'!F17+'Debt Service'!G17</f>
        <v>0</v>
      </c>
      <c r="G19" s="67">
        <f>'Debt Service'!H17+'Debt Service'!I17</f>
        <v>0</v>
      </c>
      <c r="I19" s="20" t="s">
        <v>426</v>
      </c>
      <c r="J19" s="20" t="s">
        <v>31</v>
      </c>
      <c r="K19" s="20" t="s">
        <v>427</v>
      </c>
    </row>
    <row r="20">
      <c r="B20" s="51"/>
      <c r="I20" s="20" t="s">
        <v>428</v>
      </c>
      <c r="J20" s="66">
        <f>+1 %</f>
        <v>0.01</v>
      </c>
      <c r="K20" s="20" t="s">
        <v>429</v>
      </c>
    </row>
    <row r="21">
      <c r="D21" s="69" t="s">
        <v>430</v>
      </c>
      <c r="E21" s="70">
        <f t="shared" ref="E21:G21" si="1">IRR(E4:E19)</f>
        <v>0.06</v>
      </c>
      <c r="F21" s="70">
        <f t="shared" si="1"/>
        <v>0.085</v>
      </c>
      <c r="G21" s="70">
        <f t="shared" si="1"/>
        <v>0.11</v>
      </c>
      <c r="I21" s="20" t="s">
        <v>431</v>
      </c>
      <c r="J21" s="66">
        <f>+3.5 %</f>
        <v>0.035</v>
      </c>
      <c r="K21" s="20" t="s">
        <v>432</v>
      </c>
    </row>
    <row r="22">
      <c r="I22" s="20" t="s">
        <v>433</v>
      </c>
      <c r="J22" s="66">
        <f>+6 %</f>
        <v>0.06</v>
      </c>
      <c r="K22" s="20" t="s">
        <v>434</v>
      </c>
    </row>
    <row r="23">
      <c r="I23" s="20" t="s">
        <v>435</v>
      </c>
      <c r="J23" s="20" t="s">
        <v>436</v>
      </c>
      <c r="K23" s="20" t="s">
        <v>437</v>
      </c>
    </row>
    <row r="24">
      <c r="C24" s="8" t="s">
        <v>438</v>
      </c>
    </row>
    <row r="25">
      <c r="C25" s="8" t="s">
        <v>439</v>
      </c>
    </row>
    <row r="26">
      <c r="C26" s="8" t="s">
        <v>440</v>
      </c>
      <c r="I26" s="71" t="s">
        <v>441</v>
      </c>
    </row>
    <row r="27">
      <c r="I27" s="72"/>
    </row>
    <row r="28">
      <c r="I28" s="73" t="s">
        <v>442</v>
      </c>
    </row>
    <row r="29">
      <c r="I29" s="73" t="s">
        <v>443</v>
      </c>
    </row>
    <row r="30">
      <c r="I30" s="74"/>
    </row>
    <row r="31">
      <c r="I31" s="73" t="s">
        <v>444</v>
      </c>
    </row>
    <row r="32">
      <c r="I32" s="73" t="s">
        <v>445</v>
      </c>
    </row>
    <row r="33">
      <c r="I33" s="74"/>
    </row>
    <row r="34">
      <c r="I34" s="73" t="s">
        <v>446</v>
      </c>
    </row>
    <row r="37">
      <c r="I37" s="8" t="s">
        <v>447</v>
      </c>
    </row>
    <row r="38">
      <c r="I38" s="1" t="s">
        <v>448</v>
      </c>
      <c r="J38" s="50" t="s">
        <v>425</v>
      </c>
      <c r="K38" s="1" t="s">
        <v>449</v>
      </c>
    </row>
    <row r="39">
      <c r="I39" s="8" t="s">
        <v>450</v>
      </c>
      <c r="J39" s="51" t="s">
        <v>451</v>
      </c>
      <c r="K39" s="8" t="s">
        <v>452</v>
      </c>
      <c r="M39" s="8" t="s">
        <v>450</v>
      </c>
      <c r="N39" s="51" t="s">
        <v>451</v>
      </c>
      <c r="O39" s="8" t="s">
        <v>453</v>
      </c>
      <c r="P39" s="8" t="s">
        <v>454</v>
      </c>
    </row>
    <row r="40">
      <c r="I40" s="8" t="s">
        <v>455</v>
      </c>
      <c r="J40" s="51" t="s">
        <v>456</v>
      </c>
      <c r="K40" s="8" t="s">
        <v>457</v>
      </c>
      <c r="M40" s="8" t="s">
        <v>458</v>
      </c>
      <c r="N40" s="51" t="s">
        <v>456</v>
      </c>
      <c r="O40" s="8" t="s">
        <v>459</v>
      </c>
      <c r="P40" s="8" t="s">
        <v>460</v>
      </c>
    </row>
    <row r="41">
      <c r="I41" s="8" t="s">
        <v>461</v>
      </c>
      <c r="J41" s="51" t="s">
        <v>462</v>
      </c>
      <c r="K41" s="8" t="s">
        <v>463</v>
      </c>
      <c r="M41" s="8" t="s">
        <v>464</v>
      </c>
      <c r="N41" s="51" t="s">
        <v>462</v>
      </c>
      <c r="O41" s="8" t="s">
        <v>465</v>
      </c>
      <c r="P41" s="8" t="s">
        <v>466</v>
      </c>
    </row>
    <row r="42">
      <c r="J42" s="51"/>
    </row>
    <row r="43">
      <c r="J43" s="51"/>
    </row>
    <row r="44">
      <c r="J44" s="51"/>
    </row>
  </sheetData>
  <drawing r:id="rId1"/>
</worksheet>
</file>