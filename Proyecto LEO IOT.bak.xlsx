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\\wsl.localhost\Ubuntu\home\eze\projects\quantitative-pricing-tokenized-project-finance\"/>
    </mc:Choice>
  </mc:AlternateContent>
  <xr:revisionPtr revIDLastSave="0" documentId="13_ncr:1_{D831048F-5B26-488C-A59C-E350860D98DD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Intro" sheetId="1" r:id="rId1"/>
    <sheet name="CFADS" sheetId="2" r:id="rId2"/>
    <sheet name="Debt Service" sheetId="3" r:id="rId3"/>
    <sheet name="PLCR" sheetId="4" r:id="rId4"/>
    <sheet name="Sculpted_Waterfall" sheetId="5" r:id="rId5"/>
    <sheet name="Params (waterfall only)" sheetId="6" r:id="rId6"/>
    <sheet name="IRR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" i="3" l="1"/>
  <c r="Z17" i="5"/>
  <c r="C18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3" i="3"/>
  <c r="I19" i="2"/>
  <c r="H14" i="5"/>
  <c r="D16" i="4"/>
  <c r="D17" i="4"/>
  <c r="I4" i="2"/>
  <c r="D3" i="4" s="1"/>
  <c r="J22" i="7"/>
  <c r="J21" i="7"/>
  <c r="J20" i="7"/>
  <c r="G4" i="7"/>
  <c r="J6" i="7" s="1"/>
  <c r="F4" i="7"/>
  <c r="E4" i="7"/>
  <c r="B9" i="6"/>
  <c r="B8" i="6"/>
  <c r="B7" i="6"/>
  <c r="B6" i="6"/>
  <c r="B5" i="6"/>
  <c r="B4" i="6"/>
  <c r="D2" i="5" s="1"/>
  <c r="B3" i="6"/>
  <c r="C2" i="5" s="1"/>
  <c r="AD15" i="5"/>
  <c r="AC15" i="5"/>
  <c r="AB15" i="5"/>
  <c r="AD14" i="5"/>
  <c r="AC14" i="5"/>
  <c r="AB14" i="5"/>
  <c r="AD13" i="5"/>
  <c r="AC13" i="5"/>
  <c r="AB13" i="5"/>
  <c r="AD12" i="5"/>
  <c r="AC12" i="5"/>
  <c r="AB12" i="5"/>
  <c r="AD11" i="5"/>
  <c r="AC11" i="5"/>
  <c r="AB11" i="5"/>
  <c r="H11" i="5"/>
  <c r="AD10" i="5"/>
  <c r="AC10" i="5"/>
  <c r="AB10" i="5"/>
  <c r="AD9" i="5"/>
  <c r="AC9" i="5"/>
  <c r="AB9" i="5"/>
  <c r="AD8" i="5"/>
  <c r="AC8" i="5"/>
  <c r="AB8" i="5"/>
  <c r="AD7" i="5"/>
  <c r="AC7" i="5"/>
  <c r="AB7" i="5"/>
  <c r="AD6" i="5"/>
  <c r="AC6" i="5"/>
  <c r="AB6" i="5"/>
  <c r="AD5" i="5"/>
  <c r="AC5" i="5"/>
  <c r="AB5" i="5"/>
  <c r="AD4" i="5"/>
  <c r="AC4" i="5"/>
  <c r="AB4" i="5"/>
  <c r="AD3" i="5"/>
  <c r="AC3" i="5"/>
  <c r="AB3" i="5"/>
  <c r="U3" i="5"/>
  <c r="I4" i="3" s="1"/>
  <c r="T3" i="5"/>
  <c r="G4" i="3" s="1"/>
  <c r="AD2" i="5"/>
  <c r="AC2" i="5"/>
  <c r="AB2" i="5"/>
  <c r="D15" i="4"/>
  <c r="D14" i="4"/>
  <c r="D13" i="4"/>
  <c r="D12" i="4"/>
  <c r="D11" i="4"/>
  <c r="D10" i="4"/>
  <c r="D9" i="4"/>
  <c r="D8" i="4"/>
  <c r="D7" i="4"/>
  <c r="D6" i="4"/>
  <c r="D5" i="4"/>
  <c r="D4" i="4"/>
  <c r="C31" i="3"/>
  <c r="C30" i="3"/>
  <c r="C29" i="3"/>
  <c r="B2" i="6" s="1"/>
  <c r="B2" i="5" s="1"/>
  <c r="G17" i="3"/>
  <c r="S3" i="3"/>
  <c r="R3" i="3"/>
  <c r="Q3" i="3"/>
  <c r="D20" i="1"/>
  <c r="D19" i="1"/>
  <c r="D18" i="1"/>
  <c r="A28" i="1" s="1"/>
  <c r="D8" i="1"/>
  <c r="F2" i="5" l="1"/>
  <c r="E11" i="4"/>
  <c r="E10" i="4"/>
  <c r="E8" i="4"/>
  <c r="F8" i="4" s="1"/>
  <c r="E7" i="4"/>
  <c r="F7" i="4" s="1"/>
  <c r="E6" i="4"/>
  <c r="F6" i="4" s="1"/>
  <c r="E13" i="4"/>
  <c r="E12" i="4"/>
  <c r="F12" i="4" s="1"/>
  <c r="E9" i="4"/>
  <c r="F9" i="4" s="1"/>
  <c r="G2" i="5"/>
  <c r="X2" i="5"/>
  <c r="D3" i="5" s="1"/>
  <c r="F13" i="4"/>
  <c r="E14" i="4"/>
  <c r="F14" i="4" s="1"/>
  <c r="E3" i="4"/>
  <c r="F3" i="4" s="1"/>
  <c r="H13" i="5"/>
  <c r="H3" i="5"/>
  <c r="H6" i="5"/>
  <c r="E15" i="4"/>
  <c r="F15" i="4" s="1"/>
  <c r="E16" i="4"/>
  <c r="F16" i="4" s="1"/>
  <c r="J5" i="7"/>
  <c r="E2" i="5"/>
  <c r="E5" i="4"/>
  <c r="F5" i="4" s="1"/>
  <c r="H9" i="5"/>
  <c r="T4" i="5"/>
  <c r="G5" i="3" s="1"/>
  <c r="H10" i="5"/>
  <c r="H2" i="5"/>
  <c r="U4" i="5"/>
  <c r="I5" i="3" s="1"/>
  <c r="S4" i="5"/>
  <c r="E5" i="3" s="1"/>
  <c r="U5" i="5"/>
  <c r="I6" i="3" s="1"/>
  <c r="T5" i="5"/>
  <c r="G6" i="3" s="1"/>
  <c r="H16" i="5"/>
  <c r="H5" i="5"/>
  <c r="U2" i="5"/>
  <c r="I3" i="3" s="1"/>
  <c r="T2" i="5"/>
  <c r="G3" i="3" s="1"/>
  <c r="H7" i="5"/>
  <c r="H15" i="5"/>
  <c r="H4" i="5"/>
  <c r="S5" i="5"/>
  <c r="E6" i="3" s="1"/>
  <c r="S2" i="5"/>
  <c r="E3" i="3" s="1"/>
  <c r="H12" i="5"/>
  <c r="J4" i="7"/>
  <c r="E17" i="4"/>
  <c r="F17" i="4" s="1"/>
  <c r="E4" i="4"/>
  <c r="F4" i="4" s="1"/>
  <c r="H8" i="5"/>
  <c r="S3" i="5"/>
  <c r="E4" i="3" s="1"/>
  <c r="F10" i="4"/>
  <c r="F11" i="4"/>
  <c r="F19" i="4" l="1"/>
  <c r="A31" i="1" s="1"/>
  <c r="W2" i="5"/>
  <c r="C3" i="5" s="1"/>
  <c r="G3" i="5"/>
  <c r="H4" i="3" s="1"/>
  <c r="G6" i="7" s="1"/>
  <c r="X3" i="5"/>
  <c r="D4" i="5" s="1"/>
  <c r="I2" i="5"/>
  <c r="H3" i="3"/>
  <c r="F21" i="4"/>
  <c r="A33" i="1" s="1"/>
  <c r="F3" i="5"/>
  <c r="F4" i="3" s="1"/>
  <c r="F6" i="7" s="1"/>
  <c r="W3" i="5"/>
  <c r="C4" i="5" s="1"/>
  <c r="F3" i="3"/>
  <c r="V2" i="5"/>
  <c r="B3" i="5" s="1"/>
  <c r="Y2" i="5"/>
  <c r="D3" i="3"/>
  <c r="G5" i="7" l="1"/>
  <c r="L2" i="5"/>
  <c r="K2" i="5"/>
  <c r="J2" i="5"/>
  <c r="AA2" i="5"/>
  <c r="F5" i="7"/>
  <c r="O3" i="3"/>
  <c r="J3" i="3"/>
  <c r="E5" i="7"/>
  <c r="E3" i="5"/>
  <c r="V3" i="5"/>
  <c r="B4" i="5" s="1"/>
  <c r="F4" i="5"/>
  <c r="W4" i="5"/>
  <c r="C5" i="5" s="1"/>
  <c r="G4" i="5"/>
  <c r="X4" i="5"/>
  <c r="D5" i="5" s="1"/>
  <c r="X5" i="5" l="1"/>
  <c r="D6" i="5" s="1"/>
  <c r="G5" i="5"/>
  <c r="H6" i="3" s="1"/>
  <c r="G8" i="7" s="1"/>
  <c r="H5" i="3"/>
  <c r="M2" i="5"/>
  <c r="N2" i="5" s="1"/>
  <c r="W5" i="5"/>
  <c r="C6" i="5" s="1"/>
  <c r="F5" i="5"/>
  <c r="F6" i="3" s="1"/>
  <c r="F8" i="7" s="1"/>
  <c r="F5" i="3"/>
  <c r="Y3" i="5"/>
  <c r="D4" i="3"/>
  <c r="I3" i="5"/>
  <c r="V4" i="5"/>
  <c r="B5" i="5" s="1"/>
  <c r="E4" i="5"/>
  <c r="F7" i="7" l="1"/>
  <c r="V5" i="5"/>
  <c r="B6" i="5" s="1"/>
  <c r="E5" i="5"/>
  <c r="L3" i="5"/>
  <c r="K3" i="5"/>
  <c r="J3" i="5"/>
  <c r="AA3" i="5"/>
  <c r="F6" i="5"/>
  <c r="G7" i="7"/>
  <c r="E6" i="7"/>
  <c r="O4" i="3"/>
  <c r="J4" i="3"/>
  <c r="P4" i="3"/>
  <c r="O2" i="5"/>
  <c r="D5" i="3"/>
  <c r="Y4" i="5"/>
  <c r="AA4" i="5" s="1"/>
  <c r="I4" i="5"/>
  <c r="G6" i="5"/>
  <c r="K4" i="5" l="1"/>
  <c r="J4" i="5"/>
  <c r="L4" i="5"/>
  <c r="H7" i="3"/>
  <c r="D6" i="3"/>
  <c r="Y5" i="5"/>
  <c r="AA5" i="5" s="1"/>
  <c r="I5" i="5"/>
  <c r="O5" i="3"/>
  <c r="E7" i="7"/>
  <c r="P5" i="3"/>
  <c r="J5" i="3"/>
  <c r="M3" i="5"/>
  <c r="N3" i="5" s="1"/>
  <c r="P2" i="5"/>
  <c r="Q2" i="5" s="1"/>
  <c r="R2" i="5" s="1"/>
  <c r="Q4" i="3"/>
  <c r="S4" i="3"/>
  <c r="R4" i="3"/>
  <c r="F7" i="3"/>
  <c r="E6" i="5"/>
  <c r="M4" i="5" l="1"/>
  <c r="L5" i="5"/>
  <c r="K5" i="5"/>
  <c r="J5" i="5"/>
  <c r="J6" i="3"/>
  <c r="E8" i="7"/>
  <c r="P6" i="3"/>
  <c r="O6" i="3"/>
  <c r="N4" i="5"/>
  <c r="O4" i="5" s="1"/>
  <c r="D7" i="3"/>
  <c r="I6" i="5"/>
  <c r="O3" i="5"/>
  <c r="R5" i="3"/>
  <c r="Q5" i="3"/>
  <c r="S5" i="3"/>
  <c r="P4" i="5" l="1"/>
  <c r="Q4" i="5" s="1"/>
  <c r="R4" i="5" s="1"/>
  <c r="K6" i="5"/>
  <c r="L6" i="5"/>
  <c r="J6" i="5"/>
  <c r="P7" i="3"/>
  <c r="O7" i="3"/>
  <c r="Q6" i="3"/>
  <c r="S6" i="3"/>
  <c r="R6" i="3"/>
  <c r="M5" i="5"/>
  <c r="N5" i="5" s="1"/>
  <c r="P3" i="5"/>
  <c r="Q3" i="5" s="1"/>
  <c r="R3" i="5" s="1"/>
  <c r="S7" i="3" l="1"/>
  <c r="R7" i="3"/>
  <c r="Q7" i="3"/>
  <c r="M6" i="5"/>
  <c r="N6" i="5" s="1"/>
  <c r="S6" i="5" s="1"/>
  <c r="O5" i="5"/>
  <c r="E7" i="3" l="1"/>
  <c r="V6" i="5"/>
  <c r="B7" i="5" s="1"/>
  <c r="O6" i="5"/>
  <c r="P5" i="5"/>
  <c r="Q5" i="5" s="1"/>
  <c r="R5" i="5" s="1"/>
  <c r="P6" i="5" l="1"/>
  <c r="T6" i="5" s="1"/>
  <c r="E7" i="5"/>
  <c r="E9" i="7"/>
  <c r="G7" i="3" l="1"/>
  <c r="W6" i="5"/>
  <c r="C7" i="5" s="1"/>
  <c r="D8" i="3"/>
  <c r="Q6" i="5"/>
  <c r="R6" i="5" s="1"/>
  <c r="U6" i="5" s="1"/>
  <c r="F7" i="5" l="1"/>
  <c r="I7" i="3"/>
  <c r="X6" i="5"/>
  <c r="D7" i="5" s="1"/>
  <c r="Y6" i="5"/>
  <c r="F9" i="7"/>
  <c r="J7" i="3"/>
  <c r="G7" i="5" l="1"/>
  <c r="G9" i="7"/>
  <c r="AA6" i="5"/>
  <c r="F8" i="3"/>
  <c r="I7" i="5"/>
  <c r="H8" i="3" l="1"/>
  <c r="L7" i="5"/>
  <c r="K7" i="5"/>
  <c r="J7" i="5"/>
  <c r="M7" i="5" l="1"/>
  <c r="O8" i="3"/>
  <c r="P8" i="3"/>
  <c r="S8" i="3" l="1"/>
  <c r="R8" i="3"/>
  <c r="Q8" i="3"/>
  <c r="N7" i="5"/>
  <c r="S7" i="5" s="1"/>
  <c r="O7" i="5" l="1"/>
  <c r="P7" i="5"/>
  <c r="T7" i="5" s="1"/>
  <c r="E8" i="3"/>
  <c r="V7" i="5"/>
  <c r="B8" i="5" s="1"/>
  <c r="E8" i="5" l="1"/>
  <c r="G8" i="3"/>
  <c r="W7" i="5"/>
  <c r="C8" i="5" s="1"/>
  <c r="E10" i="7"/>
  <c r="Q7" i="5"/>
  <c r="R7" i="5" s="1"/>
  <c r="U7" i="5" s="1"/>
  <c r="I8" i="3" l="1"/>
  <c r="X7" i="5"/>
  <c r="D8" i="5" s="1"/>
  <c r="Y7" i="5"/>
  <c r="F10" i="7"/>
  <c r="F8" i="5"/>
  <c r="D9" i="3"/>
  <c r="G8" i="5" l="1"/>
  <c r="F9" i="3"/>
  <c r="AA7" i="5"/>
  <c r="G10" i="7"/>
  <c r="J8" i="3"/>
  <c r="H9" i="3" l="1"/>
  <c r="I8" i="5"/>
  <c r="O9" i="3"/>
  <c r="L8" i="5" l="1"/>
  <c r="K8" i="5"/>
  <c r="J8" i="5"/>
  <c r="P9" i="3"/>
  <c r="Q9" i="3" l="1"/>
  <c r="R9" i="3"/>
  <c r="S9" i="3"/>
  <c r="M8" i="5"/>
  <c r="N8" i="5" l="1"/>
  <c r="S8" i="5" s="1"/>
  <c r="E9" i="3" l="1"/>
  <c r="V8" i="5"/>
  <c r="B9" i="5" s="1"/>
  <c r="O8" i="5"/>
  <c r="P8" i="5" l="1"/>
  <c r="T8" i="5" s="1"/>
  <c r="E9" i="5"/>
  <c r="E11" i="7"/>
  <c r="D10" i="3" l="1"/>
  <c r="G9" i="3"/>
  <c r="W8" i="5"/>
  <c r="C9" i="5" s="1"/>
  <c r="Q8" i="5"/>
  <c r="R8" i="5" s="1"/>
  <c r="U8" i="5" s="1"/>
  <c r="I9" i="3" l="1"/>
  <c r="X8" i="5"/>
  <c r="D9" i="5" s="1"/>
  <c r="F9" i="5"/>
  <c r="Y8" i="5"/>
  <c r="AA8" i="5" s="1"/>
  <c r="F11" i="7"/>
  <c r="J9" i="3"/>
  <c r="G9" i="5" l="1"/>
  <c r="H10" i="3" s="1"/>
  <c r="F10" i="3"/>
  <c r="I9" i="5"/>
  <c r="G11" i="7"/>
  <c r="J9" i="5" l="1"/>
  <c r="K9" i="5"/>
  <c r="L9" i="5"/>
  <c r="P10" i="3"/>
  <c r="O10" i="3"/>
  <c r="S10" i="3" l="1"/>
  <c r="R10" i="3"/>
  <c r="Q10" i="3"/>
  <c r="M9" i="5"/>
  <c r="N9" i="5" l="1"/>
  <c r="S9" i="5" s="1"/>
  <c r="E10" i="3" l="1"/>
  <c r="V9" i="5"/>
  <c r="B10" i="5" s="1"/>
  <c r="O9" i="5"/>
  <c r="E10" i="5" l="1"/>
  <c r="P9" i="5"/>
  <c r="T9" i="5" s="1"/>
  <c r="E12" i="7"/>
  <c r="G10" i="3" l="1"/>
  <c r="W9" i="5"/>
  <c r="C10" i="5" s="1"/>
  <c r="Q9" i="5"/>
  <c r="R9" i="5" s="1"/>
  <c r="U9" i="5" s="1"/>
  <c r="D11" i="3"/>
  <c r="I10" i="3" l="1"/>
  <c r="G12" i="7" s="1"/>
  <c r="X9" i="5"/>
  <c r="D10" i="5" s="1"/>
  <c r="F10" i="5"/>
  <c r="Y9" i="5"/>
  <c r="AA9" i="5" s="1"/>
  <c r="F12" i="7"/>
  <c r="J10" i="3"/>
  <c r="F11" i="3" l="1"/>
  <c r="G10" i="5"/>
  <c r="H11" i="3" s="1"/>
  <c r="P11" i="3" l="1"/>
  <c r="O11" i="3"/>
  <c r="I10" i="5"/>
  <c r="L10" i="5" l="1"/>
  <c r="K10" i="5"/>
  <c r="J10" i="5"/>
  <c r="R11" i="3"/>
  <c r="Q11" i="3"/>
  <c r="S11" i="3"/>
  <c r="M10" i="5" l="1"/>
  <c r="N10" i="5" l="1"/>
  <c r="S10" i="5" s="1"/>
  <c r="E11" i="3" l="1"/>
  <c r="V10" i="5"/>
  <c r="B11" i="5" s="1"/>
  <c r="O10" i="5"/>
  <c r="P10" i="5" l="1"/>
  <c r="T10" i="5" s="1"/>
  <c r="E11" i="5"/>
  <c r="E13" i="7"/>
  <c r="G11" i="3" l="1"/>
  <c r="W10" i="5"/>
  <c r="C11" i="5" s="1"/>
  <c r="D12" i="3"/>
  <c r="Q10" i="5"/>
  <c r="R10" i="5" s="1"/>
  <c r="U10" i="5" s="1"/>
  <c r="I11" i="3" l="1"/>
  <c r="G13" i="7" s="1"/>
  <c r="X10" i="5"/>
  <c r="D11" i="5" s="1"/>
  <c r="F11" i="5"/>
  <c r="Y10" i="5"/>
  <c r="AA10" i="5" s="1"/>
  <c r="F13" i="7"/>
  <c r="J11" i="3"/>
  <c r="G11" i="5" l="1"/>
  <c r="H12" i="3" s="1"/>
  <c r="F12" i="3"/>
  <c r="I11" i="5"/>
  <c r="K11" i="5" l="1"/>
  <c r="L11" i="5"/>
  <c r="J11" i="5"/>
  <c r="O12" i="3"/>
  <c r="P12" i="3"/>
  <c r="M11" i="5" l="1"/>
  <c r="S12" i="3"/>
  <c r="R12" i="3"/>
  <c r="Q12" i="3"/>
  <c r="N11" i="5"/>
  <c r="O11" i="5" s="1"/>
  <c r="S11" i="5" l="1"/>
  <c r="P11" i="5"/>
  <c r="T11" i="5" s="1"/>
  <c r="E12" i="3"/>
  <c r="V11" i="5"/>
  <c r="B12" i="5" s="1"/>
  <c r="E14" i="7" l="1"/>
  <c r="E12" i="5"/>
  <c r="G12" i="3"/>
  <c r="F14" i="7" s="1"/>
  <c r="W11" i="5"/>
  <c r="C12" i="5" s="1"/>
  <c r="Q11" i="5"/>
  <c r="R11" i="5" s="1"/>
  <c r="U11" i="5" s="1"/>
  <c r="I12" i="3" l="1"/>
  <c r="X11" i="5"/>
  <c r="D12" i="5" s="1"/>
  <c r="Y11" i="5"/>
  <c r="AA11" i="5" s="1"/>
  <c r="F12" i="5"/>
  <c r="F13" i="3" s="1"/>
  <c r="D13" i="3"/>
  <c r="G12" i="5" l="1"/>
  <c r="G14" i="7"/>
  <c r="J12" i="3"/>
  <c r="H13" i="3" l="1"/>
  <c r="I12" i="5"/>
  <c r="K12" i="5" l="1"/>
  <c r="J12" i="5"/>
  <c r="L12" i="5"/>
  <c r="O13" i="3"/>
  <c r="P13" i="3"/>
  <c r="Q13" i="3" l="1"/>
  <c r="S13" i="3"/>
  <c r="R13" i="3"/>
  <c r="M12" i="5"/>
  <c r="N12" i="5" l="1"/>
  <c r="S12" i="5" s="1"/>
  <c r="E13" i="3" l="1"/>
  <c r="V12" i="5"/>
  <c r="B13" i="5" s="1"/>
  <c r="O12" i="5"/>
  <c r="P12" i="5" l="1"/>
  <c r="T12" i="5" s="1"/>
  <c r="E13" i="5"/>
  <c r="E15" i="7"/>
  <c r="D14" i="3" l="1"/>
  <c r="G13" i="3"/>
  <c r="W12" i="5"/>
  <c r="C13" i="5" s="1"/>
  <c r="Q12" i="5"/>
  <c r="R12" i="5" s="1"/>
  <c r="U12" i="5" s="1"/>
  <c r="Y12" i="5" s="1"/>
  <c r="AA12" i="5" s="1"/>
  <c r="F13" i="5" l="1"/>
  <c r="I13" i="3"/>
  <c r="G15" i="7" s="1"/>
  <c r="X12" i="5"/>
  <c r="D13" i="5" s="1"/>
  <c r="F15" i="7"/>
  <c r="J13" i="3"/>
  <c r="G13" i="5" l="1"/>
  <c r="H14" i="3" s="1"/>
  <c r="F14" i="3"/>
  <c r="I13" i="5" l="1"/>
  <c r="L13" i="5" l="1"/>
  <c r="K13" i="5"/>
  <c r="J13" i="5"/>
  <c r="M13" i="5" l="1"/>
  <c r="N13" i="5" l="1"/>
  <c r="S13" i="5" s="1"/>
  <c r="E14" i="3" l="1"/>
  <c r="V13" i="5"/>
  <c r="B14" i="5" s="1"/>
  <c r="O13" i="5"/>
  <c r="E14" i="5" l="1"/>
  <c r="P13" i="5"/>
  <c r="T13" i="5" s="1"/>
  <c r="E16" i="7"/>
  <c r="D15" i="3" l="1"/>
  <c r="G14" i="3"/>
  <c r="W13" i="5"/>
  <c r="C14" i="5" s="1"/>
  <c r="Q13" i="5"/>
  <c r="R13" i="5" s="1"/>
  <c r="U13" i="5" s="1"/>
  <c r="Y13" i="5" s="1"/>
  <c r="Z13" i="5" l="1"/>
  <c r="AA13" i="5"/>
  <c r="I14" i="3"/>
  <c r="G16" i="7" s="1"/>
  <c r="X13" i="5"/>
  <c r="D14" i="5" s="1"/>
  <c r="F14" i="5"/>
  <c r="F16" i="7"/>
  <c r="J14" i="3"/>
  <c r="G14" i="5" l="1"/>
  <c r="H15" i="3" s="1"/>
  <c r="F15" i="3"/>
  <c r="I14" i="5" l="1"/>
  <c r="L14" i="5"/>
  <c r="K14" i="5"/>
  <c r="J14" i="5"/>
  <c r="M14" i="5" l="1"/>
  <c r="N14" i="5" s="1"/>
  <c r="S14" i="5" s="1"/>
  <c r="E15" i="3" l="1"/>
  <c r="V14" i="5"/>
  <c r="B15" i="5" s="1"/>
  <c r="O14" i="5"/>
  <c r="E15" i="5" l="1"/>
  <c r="P14" i="5"/>
  <c r="T14" i="5" s="1"/>
  <c r="E17" i="7"/>
  <c r="G15" i="3" l="1"/>
  <c r="W14" i="5"/>
  <c r="C15" i="5" s="1"/>
  <c r="Q14" i="5"/>
  <c r="R14" i="5" s="1"/>
  <c r="U14" i="5" s="1"/>
  <c r="D16" i="3"/>
  <c r="F15" i="5" l="1"/>
  <c r="I15" i="3"/>
  <c r="G17" i="7" s="1"/>
  <c r="X14" i="5"/>
  <c r="D15" i="5" s="1"/>
  <c r="Y14" i="5"/>
  <c r="F17" i="7"/>
  <c r="J15" i="3"/>
  <c r="K15" i="3" s="1"/>
  <c r="AA14" i="5" l="1"/>
  <c r="Z14" i="5"/>
  <c r="G15" i="5"/>
  <c r="H16" i="3" s="1"/>
  <c r="F16" i="3"/>
  <c r="I15" i="5"/>
  <c r="L15" i="5" l="1"/>
  <c r="J15" i="5"/>
  <c r="K15" i="5"/>
  <c r="M15" i="5" l="1"/>
  <c r="N15" i="5" s="1"/>
  <c r="S15" i="5" s="1"/>
  <c r="E16" i="3" l="1"/>
  <c r="V15" i="5"/>
  <c r="B16" i="5" s="1"/>
  <c r="O15" i="5"/>
  <c r="E16" i="5" l="1"/>
  <c r="P15" i="5"/>
  <c r="T15" i="5" s="1"/>
  <c r="E18" i="7"/>
  <c r="G16" i="3" l="1"/>
  <c r="W15" i="5"/>
  <c r="C16" i="5" s="1"/>
  <c r="Q15" i="5"/>
  <c r="R15" i="5" s="1"/>
  <c r="U15" i="5" s="1"/>
  <c r="D17" i="3"/>
  <c r="E17" i="5"/>
  <c r="I16" i="3" l="1"/>
  <c r="G18" i="7" s="1"/>
  <c r="X15" i="5"/>
  <c r="D16" i="5" s="1"/>
  <c r="F16" i="5"/>
  <c r="W16" i="5"/>
  <c r="D18" i="3"/>
  <c r="Y15" i="5"/>
  <c r="G18" i="3"/>
  <c r="F18" i="7"/>
  <c r="J16" i="3"/>
  <c r="K16" i="3" s="1"/>
  <c r="G16" i="5" l="1"/>
  <c r="Z15" i="5"/>
  <c r="AA15" i="5"/>
  <c r="F17" i="3"/>
  <c r="F17" i="5"/>
  <c r="I16" i="5"/>
  <c r="L16" i="5" l="1"/>
  <c r="K16" i="5"/>
  <c r="J16" i="5"/>
  <c r="F19" i="7"/>
  <c r="F21" i="7" s="1"/>
  <c r="A39" i="1" s="1"/>
  <c r="F18" i="3"/>
  <c r="H17" i="3"/>
  <c r="G17" i="5"/>
  <c r="H18" i="3" l="1"/>
  <c r="M16" i="5"/>
  <c r="N16" i="5" l="1"/>
  <c r="S16" i="5" s="1"/>
  <c r="E17" i="3" l="1"/>
  <c r="V16" i="5"/>
  <c r="O16" i="5"/>
  <c r="P16" i="5" l="1"/>
  <c r="Q16" i="5" s="1"/>
  <c r="R16" i="5" s="1"/>
  <c r="U16" i="5" s="1"/>
  <c r="E18" i="3"/>
  <c r="E19" i="7"/>
  <c r="E21" i="7" s="1"/>
  <c r="A37" i="1" s="1"/>
  <c r="I17" i="3" l="1"/>
  <c r="X16" i="5"/>
  <c r="Y16" i="5"/>
  <c r="Z16" i="5" l="1"/>
  <c r="AA16" i="5"/>
  <c r="Y17" i="5"/>
  <c r="I18" i="3"/>
  <c r="G19" i="7"/>
  <c r="G21" i="7" s="1"/>
  <c r="A41" i="1" s="1"/>
  <c r="J17" i="3"/>
  <c r="K17" i="3" l="1"/>
  <c r="K18" i="3" s="1"/>
  <c r="J18" i="3"/>
  <c r="AC16" i="5"/>
  <c r="AB16" i="5"/>
  <c r="AD16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A1" authorId="0" shapeId="0" xr:uid="{00000000-0006-0000-0000-000001000000}">
      <text>
        <r>
          <rPr>
            <sz val="10"/>
            <color rgb="FF000000"/>
            <rFont val="Arial"/>
            <scheme val="minor"/>
          </rPr>
          <t>12 meses del servicio senior anual).
	-Christian Prete</t>
        </r>
      </text>
    </comment>
  </commentList>
</comments>
</file>

<file path=xl/sharedStrings.xml><?xml version="1.0" encoding="utf-8"?>
<sst xmlns="http://schemas.openxmlformats.org/spreadsheetml/2006/main" count="527" uniqueCount="474">
  <si>
    <t>Buyer Persona del Proyecto (nivel Project Finance Tokenizado)</t>
  </si>
  <si>
    <t>Elemento</t>
  </si>
  <si>
    <t>Descripción</t>
  </si>
  <si>
    <t>Rol</t>
  </si>
  <si>
    <t>Sponsor o SPV de constelación satelital IoT</t>
  </si>
  <si>
    <t>Objetivo</t>
  </si>
  <si>
    <t>Lanzamiento de 80 satélites IoT + estaciones terrenas (estimado realista 2,3 MUSD/unidad)</t>
  </si>
  <si>
    <t>Horizonte del proyecto</t>
  </si>
  <si>
    <t>12 años (3 de gracia + 9 de repago)</t>
  </si>
  <si>
    <t>Necesidad de financiamiento</t>
  </si>
  <si>
    <t>USD 90 M (80 % deuda, 20 % equity).</t>
  </si>
  <si>
    <t>Deuda (80%)</t>
  </si>
  <si>
    <t>Equity (20%)</t>
  </si>
  <si>
    <t>Tipo de deuda</t>
  </si>
  <si>
    <t>Project Finance tokenizado con tres tramos: senior, mezzanine y subordinado.</t>
  </si>
  <si>
    <t>Estructura típica para infraestructura digital emergente</t>
  </si>
  <si>
    <t>Tipo de inversores</t>
  </si>
  <si>
    <t>Distribución equilibrada por riesgo y prelación</t>
  </si>
  <si>
    <t>1️⃣ Senior token holders</t>
  </si>
  <si>
    <t>Fondos institucionales conservadores (infra funds, aseguradoras). Buscan bajo riesgo, tasa base + 100 bps.</t>
  </si>
  <si>
    <t>2️⃣ Mezzanine token holders</t>
  </si>
  <si>
    <t>Fondos de deuda privada o family offices. Aceptan riesgo medio, tasa base + 350 bps.</t>
  </si>
  <si>
    <t>3️⃣ Subordinated token holders</t>
  </si>
  <si>
    <t>Inversores alternativos o cripto institucionales (DeFi RWA funds). Aceptan alta volatilidad, tasa base + 600 bps.</t>
  </si>
  <si>
    <t>Flujos esperados</t>
  </si>
  <si>
    <t>ARPU bajo pero crecimiento exponencial por adopción IoT (lag comercial).</t>
  </si>
  <si>
    <t>Riesgos clave</t>
  </si>
  <si>
    <t>Delay en lanzamiento, fallas satelitales, adopción lenta, inflación de costos de lanzamiento.</t>
  </si>
  <si>
    <t>Mitigadores</t>
  </si>
  <si>
    <t>DSRA (12 meses), MRA (50 % del RCAPEX futuro), seguros de lanzamiento, covenant de dividend lock-up DSCR&lt;1.25.</t>
  </si>
  <si>
    <t>Tasa base (SOFR)</t>
  </si>
  <si>
    <t>5.0 %</t>
  </si>
  <si>
    <t>Coherente con entorno USD actual</t>
  </si>
  <si>
    <t>Spreads por tramo</t>
  </si>
  <si>
    <t>Tipo tasa</t>
  </si>
  <si>
    <t>Spread</t>
  </si>
  <si>
    <t xml:space="preserve">Senior +1.0 % → 6.0 %;  </t>
  </si>
  <si>
    <t>Mezz +3.5 % → 8.5 %;</t>
  </si>
  <si>
    <t>Sub +6 % → 11.0 %</t>
  </si>
  <si>
    <t>Amortización</t>
  </si>
  <si>
    <t>“Sculpted” para mantener DSCR ≈ 1.45 en senior</t>
  </si>
  <si>
    <t>“Sculpted” (año 5–12)</t>
  </si>
  <si>
    <t>Sculpted</t>
  </si>
  <si>
    <t>Grace period (anos, solo intereses)</t>
  </si>
  <si>
    <t>Permite alcanzar flujo positivo</t>
  </si>
  <si>
    <t>Hasta estabilizar ingresos (fase de commissioning y ramp-up)</t>
  </si>
  <si>
    <t>Vida útil total del proyecto (anos)</t>
  </si>
  <si>
    <t>Incluye reposición año 10–15</t>
  </si>
  <si>
    <t>WACD</t>
  </si>
  <si>
    <t>WACD 6–8 %</t>
  </si>
  <si>
    <t>Normal digital infra</t>
  </si>
  <si>
    <t>PLCR</t>
  </si>
  <si>
    <t>LLCR</t>
  </si>
  <si>
    <t>1.25 – 1.40</t>
  </si>
  <si>
    <t>IRR</t>
  </si>
  <si>
    <t>Senior</t>
  </si>
  <si>
    <t>Mezz</t>
  </si>
  <si>
    <t>Sub</t>
  </si>
  <si>
    <t>Línea Temporal Financiera (“Cash Flow Timeline”)</t>
  </si>
  <si>
    <t>Fase</t>
  </si>
  <si>
    <t>Año</t>
  </si>
  <si>
    <t>Evento</t>
  </si>
  <si>
    <t>Desembolso / Flujo</t>
  </si>
  <si>
    <t>Observaciones</t>
  </si>
  <si>
    <t>I. Ingeniería y Manufactura</t>
  </si>
  <si>
    <t>0–2</t>
  </si>
  <si>
    <t>Producción 40 satélites</t>
  </si>
  <si>
    <t>-USD 90 M</t>
  </si>
  <si>
    <t>Deuda + Equity (Drawdwon 1)</t>
  </si>
  <si>
    <t>II. Lanzamiento y Puesta en órbita</t>
  </si>
  <si>
    <t>2–3</t>
  </si>
  <si>
    <t>3 lanzamientos (agrupados)</t>
  </si>
  <si>
    <t>-USD 60 M</t>
  </si>
  <si>
    <t>Deuda (Drawdown #2), riesgo técnico alto.</t>
  </si>
  <si>
    <t>III. Comisión y Operación Inicial</t>
  </si>
  <si>
    <t>3–4</t>
  </si>
  <si>
    <t>Validación + primeros contratos IoT</t>
  </si>
  <si>
    <t>-USD 20 M</t>
  </si>
  <si>
    <t>CFADS ≈ 0 → sólo intereses (grace period).</t>
  </si>
  <si>
    <t xml:space="preserve">Incluido en CAPEX total (IDC </t>
  </si>
  <si>
    <t>IV. Ramp-up comercial</t>
  </si>
  <si>
    <t>4–6</t>
  </si>
  <si>
    <t>Adopción de mercado + Rampa Comercial</t>
  </si>
  <si>
    <t>+USD 25–40 M/año</t>
  </si>
  <si>
    <t>Comienza a generarse CFADS positivo. Fin del grace period. Amortización “sculpted” para DSCR ≈ 1.25.</t>
  </si>
  <si>
    <t>V. Operación plena</t>
  </si>
  <si>
    <t>6–10</t>
  </si>
  <si>
    <t>Saturación de constelación</t>
  </si>
  <si>
    <t>+USD 50–60 M/año</t>
  </si>
  <si>
    <t>Flujo estable, repago total del principal - DSCR 1.25</t>
  </si>
  <si>
    <t>rcapex_1</t>
  </si>
  <si>
    <t>Reposición parcial I</t>
  </si>
  <si>
    <t>MRA 10 + cash 10</t>
  </si>
  <si>
    <t>VI. Reposición satelital (RCAPEX)</t>
  </si>
  <si>
    <t>8–10</t>
  </si>
  <si>
    <t>Sustitución parcial de satélites</t>
  </si>
  <si>
    <t>-USD 15 M/año</t>
  </si>
  <si>
    <t>Cubierto con MRA + Cash Sweep.</t>
  </si>
  <si>
    <t>VII. Decommissioning</t>
  </si>
  <si>
    <t>11–12</t>
  </si>
  <si>
    <t>Fin de vida</t>
  </si>
  <si>
    <t>+USD 10 M (residual)</t>
  </si>
  <si>
    <t>Dividendos finales a equity.</t>
  </si>
  <si>
    <t>Implicancias en la Estructura Financiera</t>
  </si>
  <si>
    <t>Parámetro</t>
  </si>
  <si>
    <t>Lógica derivada del Buyer Persona / Timeline</t>
  </si>
  <si>
    <t>Periodo de gracia (Grace Period)</t>
  </si>
  <si>
    <t>3 años (coincide con la construcción y commissioning). Sólo intereses, sin amortización.</t>
  </si>
  <si>
    <t>8 años posteriores, “sculpted” para mantener DSCR ≈ 1.25–1.30.</t>
  </si>
  <si>
    <t>Duración total del préstamo</t>
  </si>
  <si>
    <t>11 años (3 + 8).</t>
  </si>
  <si>
    <t>DSRA objetivo</t>
  </si>
  <si>
    <t>12 meses del servicio de deuda senior.</t>
  </si>
  <si>
    <t>MRA objetivo</t>
  </si>
  <si>
    <t>50 % del próximo RCAPEX (año 8).</t>
  </si>
  <si>
    <t>Inicio de repago</t>
  </si>
  <si>
    <t>Año 4 (cuando CFADS positivo supera intereses).</t>
  </si>
  <si>
    <t>Dividend lock-up</t>
  </si>
  <si>
    <t>DSCR &lt; 1.25 → dividendos bloqueados automáticamente por smart contract.</t>
  </si>
  <si>
    <t>Evento de default técnico</t>
  </si>
  <si>
    <t>DSCR &lt; 1.0 durante dos períodos consecutivos.</t>
  </si>
  <si>
    <t>Financiamiento inicial</t>
  </si>
  <si>
    <t>Todo el capital (deuda + equity) desembolsado antes del lanzamiento → la SPV recibe la deuda completa desde el inicio, en desembolsos escalonados según hitos.</t>
  </si>
  <si>
    <t>Horizonte: 15 años</t>
  </si>
  <si>
    <t>CFADS = Revenue – OPEX – Maintenance – ΔWC – Tax – RCAPEX</t>
  </si>
  <si>
    <t>CAPEX total: 90 MUSD</t>
  </si>
  <si>
    <t>revenue_gross</t>
  </si>
  <si>
    <t>opex</t>
  </si>
  <si>
    <t>maintenance_opex</t>
  </si>
  <si>
    <t>working_cap_change</t>
  </si>
  <si>
    <t>tax_paid</t>
  </si>
  <si>
    <t>rcapex_amount</t>
  </si>
  <si>
    <t>CFADS</t>
  </si>
  <si>
    <t>Ramp-up: 3 años hasta punto de equilibrio (año 5)</t>
  </si>
  <si>
    <t>Fase 1: fabricación y despliegue (parcial)</t>
  </si>
  <si>
    <t>Margen operativo bruto (EBITDA/revenue): 45–50% en régimen</t>
  </si>
  <si>
    <t>Fase 2: commissioning</t>
  </si>
  <si>
    <t>RCAPEX: Reposición cada 5 años (~20–30 MUSD)</t>
  </si>
  <si>
    <t>Inicio servicio beta</t>
  </si>
  <si>
    <t>Impuesto efectivo: 25–30%</t>
  </si>
  <si>
    <t>Ingresos recurrentes crecen</t>
  </si>
  <si>
    <t>Δ Working Capital: 1–2% de revenue (en crecimiento)</t>
  </si>
  <si>
    <t>Break-even operativo</t>
  </si>
  <si>
    <t>Cobertura global completa</t>
  </si>
  <si>
    <t>Madurez operativa</t>
  </si>
  <si>
    <t>Margen máximo</t>
  </si>
  <si>
    <t>Estabilización de demanda</t>
  </si>
  <si>
    <t>Inicio fase reposiciones</t>
  </si>
  <si>
    <t>Saturación de mercado</t>
  </si>
  <si>
    <t>Fin del repago</t>
  </si>
  <si>
    <t>Fase madura (post-debt)</t>
  </si>
  <si>
    <t>Flujo equity</t>
  </si>
  <si>
    <t>Fin de ciclo económico</t>
  </si>
  <si>
    <t>CFADS (USD M)</t>
  </si>
  <si>
    <t>Int_Senior</t>
  </si>
  <si>
    <t>Amort_Senior</t>
  </si>
  <si>
    <t>Int_Mezz</t>
  </si>
  <si>
    <t>Amort_Mezz</t>
  </si>
  <si>
    <t>Int_Sub</t>
  </si>
  <si>
    <t>Amort_Sub</t>
  </si>
  <si>
    <t>Servicio de
 deuda total (USD M)</t>
  </si>
  <si>
    <t>DSCR</t>
  </si>
  <si>
    <t>CFADS-Int Tot</t>
  </si>
  <si>
    <t>Amor Total</t>
  </si>
  <si>
    <t>S</t>
  </si>
  <si>
    <t>M</t>
  </si>
  <si>
    <t>CAPEX y ramp-up (sin ingresos)</t>
  </si>
  <si>
    <t>Fase preoperativa</t>
  </si>
  <si>
    <t>Primeros clientes IoT</t>
  </si>
  <si>
    <t>Near break-even, aún interest-only</t>
  </si>
  <si>
    <t>Inicio amortización (DSCR≈1)</t>
  </si>
  <si>
    <t>DSCR objetivo alcanzado</t>
  </si>
  <si>
    <t>Cashflow estable</t>
  </si>
  <si>
    <t>Máximo DSCR operativo</t>
  </si>
  <si>
    <t>Cobertura holgada</t>
  </si>
  <si>
    <t>DSCR mantiene holgura</t>
  </si>
  <si>
    <t>Últimos años de repago</t>
  </si>
  <si>
    <t>Fin del repago (sin saldos vivos)</t>
  </si>
  <si>
    <t>Free CF post-debt</t>
  </si>
  <si>
    <t>Flujo equity neto</t>
  </si>
  <si>
    <t>Reservas MRA / RCAPEX</t>
  </si>
  <si>
    <t>1️⃣ CFADS vs Servicio Total</t>
  </si>
  <si>
    <t>Tipo: gráfico de líneas.</t>
  </si>
  <si>
    <t>Eje X: años (1–15).</t>
  </si>
  <si>
    <t>Tramo</t>
  </si>
  <si>
    <t>Principal inicial (USD M)</t>
  </si>
  <si>
    <t>Grace</t>
  </si>
  <si>
    <t>Pagos</t>
  </si>
  <si>
    <t>Protección</t>
  </si>
  <si>
    <t>Comentario</t>
  </si>
  <si>
    <t>SOFR + 100 bps</t>
  </si>
  <si>
    <t>flotante</t>
  </si>
  <si>
    <t>sculpted</t>
  </si>
  <si>
    <t>12 meses</t>
  </si>
  <si>
    <t>Se amortiza de forma sculpted (ligada a CFADS), comenzando tras el grace.</t>
  </si>
  <si>
    <t>DSRA cubre 12 meses de deuda.</t>
  </si>
  <si>
    <t>Base SOFR + 100 bps.</t>
  </si>
  <si>
    <t>Ejes Y: montos en millones USD.</t>
  </si>
  <si>
    <t>Mezzanine</t>
  </si>
  <si>
    <t>SOFR + 300 bps</t>
  </si>
  <si>
    <t>level payment</t>
  </si>
  <si>
    <t>Pagos level payment, más lentos.</t>
  </si>
  <si>
    <t>No tiene DSRA directo, subordinado al senior.</t>
  </si>
  <si>
    <t>SOFR + 300 bps.</t>
  </si>
  <si>
    <t>Subordinated (Token)</t>
  </si>
  <si>
    <t>Fixed (USDC) + 600 bps</t>
  </si>
  <si>
    <t>bullet</t>
  </si>
  <si>
    <t>24 meses</t>
  </si>
  <si>
    <t>Solo paga intereses periódicos.</t>
  </si>
  <si>
    <t>Recupera capital al final (bullet).</t>
  </si>
  <si>
    <t>TOKEN_USDC + 600 bps.</t>
  </si>
  <si>
    <t>Serie 1 (azul): CFADS.</t>
  </si>
  <si>
    <t>Serie 2 (roja): Servicio_Total.</t>
  </si>
  <si>
    <t>Años 1–4: gracia total, intereses-only. DSCR &lt; 1 → cubierto con equity + DSRA.</t>
  </si>
  <si>
    <t>Años 5–12: amortización escalonada (“sculpted”) → DSCR promedio ≈ 1.6×, mínimo 1.0×.</t>
  </si>
  <si>
    <t>Interpretación:</t>
  </si>
  <si>
    <t>Años 13–15: deuda cancelada, flujos a equity (potencial para dividendos o MRA).</t>
  </si>
  <si>
    <t>Muestra la cobertura de deuda año a año; cuando CFADS &gt; Servicio, el excedente puede ir a MRA/DSRA o dividendos.</t>
  </si>
  <si>
    <t>Perfil típico de PF: “U” invertida — deuda se paga cuando CFADS crece y se estabiliza.</t>
  </si>
  <si>
    <t>Reserva de Servicio de Deuda (DSRA): equivalente a 12 meses de servicio senior ≈ 10–12 MUSD, cubre riesgo de brechas en los primeros años.</t>
  </si>
  <si>
    <t>Maintenance Reserve Account (MRA): acumula desde año 9 para RCAPEX (no afecta DSCR).</t>
  </si>
  <si>
    <t>2️⃣ DSCR vs Umbral Objetivo</t>
  </si>
  <si>
    <t>Serie 1: DSCR.</t>
  </si>
  <si>
    <t>Serie 2 (línea discontinua): línea constante en 1.43×.</t>
  </si>
  <si>
    <t>3️⃣ Saldos de Deuda por Tramo (área apilada)</t>
  </si>
  <si>
    <t>Eje Y: ratio (sin unidades).</t>
  </si>
  <si>
    <t>Serie 1 (azul): saldo Senior.</t>
  </si>
  <si>
    <t>Permite ver visualmente el cumplimiento de covenants y períodos de lock-up.</t>
  </si>
  <si>
    <t>Serie 2 (naranja): saldo Mezzanine.</t>
  </si>
  <si>
    <t>Los años con DSCR &lt; 1.25 activarían el bloqueo de dividendos.</t>
  </si>
  <si>
    <t>Serie 3 (gris): saldo Subordinado.</t>
  </si>
  <si>
    <t>Eje Y: millones USD.</t>
  </si>
  <si>
    <t>4️⃣ Flujos por Tramo (barras con IRR anotada)</t>
  </si>
  <si>
    <t>Serie de columnas agrupadas: flujos anuales de cada tramo (Intereses + Amortización).</t>
  </si>
  <si>
    <t>Visualiza cómo el repago escultido reduce progresivamente los saldos hasta cero, respetando la prioridad de pagos.</t>
  </si>
  <si>
    <t>En la leyenda se muestra la TIR calculada (IRR() en “Flujos IRR”).</t>
  </si>
  <si>
    <t>Eje X: años (0–15).</t>
  </si>
  <si>
    <t>5️⃣ Evolución de Reservas (DSRA y MRA)</t>
  </si>
  <si>
    <t>Tipo: gráfico de líneas apiladas.</t>
  </si>
  <si>
    <t>Serie 1 (verde): saldo DSRA.</t>
  </si>
  <si>
    <t>Sirve para mostrar la estructura de retornos por riesgo:</t>
  </si>
  <si>
    <t>Senior ≈ 6%, Mezz ≈ 9%, Sub ≈ 11%.</t>
  </si>
  <si>
    <t>Serie 2 (gris claro): saldo MRA.</t>
  </si>
  <si>
    <t>Muestra los ciclos de descarga y recarga de las reservas.</t>
  </si>
  <si>
    <t>DSRA baja durante la fase de ramp-up y se repone cuando hay excedentes.</t>
  </si>
  <si>
    <t>MRA se acumula antes de los años con RCAPEX (10 y 15) y se usa totalmente en esos años.</t>
  </si>
  <si>
    <t>Factor descuento (1/(1+WACD)^t)</t>
  </si>
  <si>
    <t>Valor presente</t>
  </si>
  <si>
    <t>Métrica</t>
  </si>
  <si>
    <t>Valor calculado</t>
  </si>
  <si>
    <t>Fórmula / Definición</t>
  </si>
  <si>
    <t>Interpretación</t>
  </si>
  <si>
    <t>DSCR medio (años 5–12)</t>
  </si>
  <si>
    <t>1.60×</t>
  </si>
  <si>
    <t>promedio CFADS / servicio total</t>
  </si>
  <si>
    <t>Nivel óptimo: &gt;1.4× → proyecto bancable</t>
  </si>
  <si>
    <t>DSCR mínimo</t>
  </si>
  <si>
    <t>1.00×</t>
  </si>
  <si>
    <t>año 5 (inicio repago)</t>
  </si>
  <si>
    <t>punto de control para DSRA</t>
  </si>
  <si>
    <t>LLCR (Loan Life Coverage Ratio)</t>
  </si>
  <si>
    <t>1.37×</t>
  </si>
  <si>
    <t>NPV(CFADS vida deuda) / Deuda viva al inicio repago</t>
  </si>
  <si>
    <t>Cobertura razonable para riesgo medio (fuente: Esty, Gatti)</t>
  </si>
  <si>
    <t>PLCR (Project Life Coverage Ratio)</t>
  </si>
  <si>
    <t>1.42×</t>
  </si>
  <si>
    <t>NPV(CFADS 1–15) / Deuda total</t>
  </si>
  <si>
    <t>Margen de cobertura total del proyecto</t>
  </si>
  <si>
    <t>WACD (Weighted Avg. Cost of Debt)</t>
  </si>
  <si>
    <t>7.6 %</t>
  </si>
  <si>
    <t>(∑ r_i × principal_i)/∑ principal</t>
  </si>
  <si>
    <t>Costo promedio ponderado de la deuda</t>
  </si>
  <si>
    <t>&gt; 1.40</t>
  </si>
  <si>
    <t>Muy sólido — margen de seguridad robusto</t>
  </si>
  <si>
    <t>Aceptable — bancable sin soporte adicional</t>
  </si>
  <si>
    <t>1.10 – 1.25</t>
  </si>
  <si>
    <t>Marginal — requiere DSRA o garantía parcial</t>
  </si>
  <si>
    <t>&lt; 1.10</t>
  </si>
  <si>
    <t>Riesgoso — no bancable (deuda sobredimensionada)</t>
  </si>
  <si>
    <t>PLCR ≥ 1.4×</t>
  </si>
  <si>
    <t>Conservador</t>
  </si>
  <si>
    <t>✅ 1.42×</t>
  </si>
  <si>
    <t>DSRA = 12 meses servicio</t>
  </si>
  <si>
    <t>Estándar</t>
  </si>
  <si>
    <t>✅ Incluido conceptualmente</t>
  </si>
  <si>
    <t>RCAPEX vía MRA</t>
  </si>
  <si>
    <t>Buenas prácticas</t>
  </si>
  <si>
    <t>✅ Aplicado (no afecta CFADS)</t>
  </si>
  <si>
    <t>LLCR ≥ 1.3×</t>
  </si>
  <si>
    <t>Bancable</t>
  </si>
  <si>
    <t>✅ 1.37×</t>
  </si>
  <si>
    <t>En estructuras PF reales, los umbrales mínimos típicos:</t>
  </si>
  <si>
    <t>LLCR ≥ 1.20–1.30 para proyectos maduros (utilities, infra digital).</t>
  </si>
  <si>
    <t>PLCR ≥ 1.40–1.60 para confort de largo plazo.</t>
  </si>
  <si>
    <t>A) Palancas sobre CFADS (numerador)</t>
  </si>
  <si>
    <t>Más ingresos: contratos ancla, take-or-pay/capacity commitments, pricing/ARPU mejor, o mayor penetración/volumen (ojo consistencia con buyer persona y competencia).</t>
  </si>
  <si>
    <t>Menos OPEX/maintenance: eficiencias TT&amp;C/energía/seguros; calendarizar mejor RCAPEX para no concentrarlo en años críticos.</t>
  </si>
  <si>
    <t>“El LLCR y PLCR calculados sobre el flujo base muestran una cobertura inferior a 1×, evidenciando la necesidad de ajustar la estructura (ya sea por incremento del equity inicial, extensión de tenor o reducción del WACD mediante spreads más competitivos). En términos de pricing, el bajo LLCR explica spreads elevados (300–600 bps) requeridos por los inversores mezzanine y subordinados para alcanzar el EL y CVaR target.”</t>
  </si>
  <si>
    <t>Hedging de tasas/energía (cap/floor) para reducir volatilidad negativa del CFADS y mejorar cobertura promedio (indirecto sobre LLCR/PLCR vía estabilidad).</t>
  </si>
  <si>
    <t>B) Palancas sobre tasa/discount rate (r del NPV)</t>
  </si>
  <si>
    <t>Bajar WACD/costo de deuda:</t>
  </si>
  <si>
    <t>reducir spreads (mejoras de estructura, garantías, liquidez tokenizada, ECA/MLA, etc.);</t>
  </si>
  <si>
    <t>aumentar calidad/tenor de contratos;</t>
  </si>
  <si>
    <t>colateral híbrido (activos + reservas on-chain) que reduzca PD/LGD percibida.</t>
  </si>
  <si>
    <t>Menor r ⇒ mayor PV de CFADS ⇒ suben LLCR/PLCR.</t>
  </si>
  <si>
    <t>C) Palancas sobre perfil de deuda (denominador y servicio)</t>
  </si>
  <si>
    <t>Más equity / menos deuda al cierre (subí el equity del 30 % a 35–40 % o baja el monto de deuda): baja el denominador.</t>
  </si>
  <si>
    <t>Tenor más largo o amortización “sculpted” para alinear servicio con ramp-up: reduce presión temprana y aumenta ventana de flujos que entran al NPV del LLCR.</t>
  </si>
  <si>
    <t>Grace más largo (interest-only) si el ramp-up es más lento; mejora DSCR inicial y evita draw de reservas (no cambia LLCR directamente pero te permite sostener estructura que sí lo mejora).</t>
  </si>
  <si>
    <t>Refinanciación “mini-perm” (si esperás que el proyecto sea más bancable con históricos): primer tramo corto, luego refi con mejores términos; sube LLCR ex-ante si el r esperado de refi es menor.</t>
  </si>
  <si>
    <t>D) Palancas tokenizadas (impacto vía r y liquidez)</t>
  </si>
  <si>
    <t>Menor prima de iliquidez por mercado secundario de tokens (mejor price discovery) → spread menor.</t>
  </si>
  <si>
    <t>Gobernanza digital / reservas programables (DSRA/MRA on-chain) → menor correlación de default entre tramos y mejor percepción de recupero → spread menor.</t>
  </si>
  <si>
    <t>Colateral digital (escrow en stablecoins, oráculos auditables) que reduce riesgo operativo de pagos. Todo esto empuja r a la baja, mejorando LLCR/PLCR.</t>
  </si>
  <si>
    <t>BOP_Senior</t>
  </si>
  <si>
    <t>BOP_Mezz</t>
  </si>
  <si>
    <t>BOP_Sub</t>
  </si>
  <si>
    <t>S_star</t>
  </si>
  <si>
    <t>Atot</t>
  </si>
  <si>
    <t>Amort_Senior_base</t>
  </si>
  <si>
    <t>Amort_Mezz_base</t>
  </si>
  <si>
    <t>Amort_Sub_base</t>
  </si>
  <si>
    <t>Leftover1</t>
  </si>
  <si>
    <t>Add_Senior</t>
  </si>
  <si>
    <t>Leftover2</t>
  </si>
  <si>
    <t>Add_Mezz</t>
  </si>
  <si>
    <t>Leftover3</t>
  </si>
  <si>
    <t>Add_Sub</t>
  </si>
  <si>
    <t>EOP_Senior</t>
  </si>
  <si>
    <t>EOP_Mezz</t>
  </si>
  <si>
    <t>EOP_Sub</t>
  </si>
  <si>
    <t>Service</t>
  </si>
  <si>
    <t>Extra_Capacity</t>
  </si>
  <si>
    <t>Extra_S</t>
  </si>
  <si>
    <t>Extra_M</t>
  </si>
  <si>
    <t>Extra_U</t>
  </si>
  <si>
    <t>DSRA_Funding</t>
  </si>
  <si>
    <t>DSRA_Release</t>
  </si>
  <si>
    <t>DSRA_Balance</t>
  </si>
  <si>
    <t>MRA_Funding</t>
  </si>
  <si>
    <t>MRA_Use</t>
  </si>
  <si>
    <t>MRA_Balance</t>
  </si>
  <si>
    <t>📘 1. Estructura lógica del Waterfall (orden de prioridad)</t>
  </si>
  <si>
    <t>El Waterfall o “cash flow cascade” es una tabla de flujos ordenada según prelación de pagos.</t>
  </si>
  <si>
    <t>Orden</t>
  </si>
  <si>
    <t>Concepto</t>
  </si>
  <si>
    <t>Fórmula / Acción</t>
  </si>
  <si>
    <t>Resultado</t>
  </si>
  <si>
    <t>Flujo operativo disponible para servicio de deuda</t>
  </si>
  <si>
    <t>Ingreso base del año</t>
  </si>
  <si>
    <t>Pago intereses + amortizaciones (senior → mezz → sub)</t>
  </si>
  <si>
    <t>=MIN(CFADS + DSRA_draw, Servicio_Total)</t>
  </si>
  <si>
    <t>Si CFADS no alcanza, se usa DSRA</t>
  </si>
  <si>
    <t>DSRA draw (si CFADS &lt; servicio)</t>
  </si>
  <si>
    <t>=MIN(Faltante, DSRA_balance)</t>
  </si>
  <si>
    <t>Reduce DSRA</t>
  </si>
  <si>
    <t>DSRA top-up (si sobran fondos y DSRA &lt; target)</t>
  </si>
  <si>
    <t>=MIN(DSRA_target - DSRA_balance, Cash_remanente)</t>
  </si>
  <si>
    <t>Restaura DSRA</t>
  </si>
  <si>
    <t>MRA use (si hay RCAPEX ese año)</t>
  </si>
  <si>
    <t>=MIN(RCAPEX_t, MRA_balance)</t>
  </si>
  <si>
    <t>Disminuye MRA</t>
  </si>
  <si>
    <t>MRA top-up (si no se alcanzó target para próximo RCAPEX)</t>
  </si>
  <si>
    <t>=MIN(MRA_target - MRA_balance, Cash_remanente)</t>
  </si>
  <si>
    <t>Reconstituye MRA</t>
  </si>
  <si>
    <t>Cash sweep / dividendos</t>
  </si>
  <si>
    <t>=MAX(0, Cash_remanente)</t>
  </si>
  <si>
    <t>Flujo residual a equity</t>
  </si>
  <si>
    <t>Años 1–4: DSRA cubre déficit (draw), CFADS negativo → DSRA baja.</t>
  </si>
  <si>
    <t>Años 5–6: CFADS supera servicio → se repone DSRA (top-up), se fondea MRA para RCAPEX futuro.</t>
  </si>
  <si>
    <t>Años 10 y 15: MRA se usa (MRA_use) para pagar el RCAPEX satelital (reposición).</t>
  </si>
  <si>
    <t>Tu tesis propone tokenizar los tramos de deuda (Senior / Mezz / Sub) pero mantener las cuentas de reserva (DSRA, MRA) como smart contracts custodiados:</t>
  </si>
  <si>
    <t>Off-chain equivalente</t>
  </si>
  <si>
    <t>On-chain implementación</t>
  </si>
  <si>
    <t>DSRA</t>
  </si>
  <si>
    <t>Escrow bancario a nombre del SPV</t>
  </si>
  <si>
    <t>Smart contract de custodia con lógica de top-up/draw</t>
  </si>
  <si>
    <t>MRA</t>
  </si>
  <si>
    <t>Cuenta restringida en proyecto</t>
  </si>
  <si>
    <t>Smart contract vinculado al calendario RCAPEX</t>
  </si>
  <si>
    <t>Dividend Lock-up</t>
  </si>
  <si>
    <t>Covenant contractual</t>
  </si>
  <si>
    <t>Condición automatizada (if DSCR &lt; 1.25 then lock=true)</t>
  </si>
  <si>
    <t>Cash Sweep</t>
  </si>
  <si>
    <t>Obligación de prepago anticipado</t>
  </si>
  <si>
    <t>Smart function (if CFADS &gt; target then sweep = %excedente)</t>
  </si>
  <si>
    <t>El flujo de caja del SPV (en USDC/fiat) puede representarse como tokens de entrada que recorren el waterfall en un árbol de distribución on-chain.</t>
  </si>
  <si>
    <t>Esa lógica es exactamente lo que tenés modelado en la pestaña Waterfall.</t>
  </si>
  <si>
    <t>Param</t>
  </si>
  <si>
    <t>Value</t>
  </si>
  <si>
    <t>Principal_Senior</t>
  </si>
  <si>
    <t>Principal_Mezz</t>
  </si>
  <si>
    <t>Principal_Sub</t>
  </si>
  <si>
    <t>Rate_Senior</t>
  </si>
  <si>
    <t>Rate_Mezz</t>
  </si>
  <si>
    <t>Rate_Sub</t>
  </si>
  <si>
    <t>Grace_Years</t>
  </si>
  <si>
    <t>Tenor_Years</t>
  </si>
  <si>
    <t>DSCR_Obj</t>
  </si>
  <si>
    <t>Weight_Senior</t>
  </si>
  <si>
    <t>Weight_Mezz</t>
  </si>
  <si>
    <t>Weight_Sub</t>
  </si>
  <si>
    <t>DSRA_initial</t>
  </si>
  <si>
    <t>Flujo Senior</t>
  </si>
  <si>
    <t>Flujo Mezz</t>
  </si>
  <si>
    <t>Flujo Sub</t>
  </si>
  <si>
    <t>Inversión inicial (MUSD)</t>
  </si>
  <si>
    <t>Promedio de cobros anuales (MUSD)</t>
  </si>
  <si>
    <t>TIR nominal anual estimada</t>
  </si>
  <si>
    <t>Rango típico PF (benchmark)</t>
  </si>
  <si>
    <t>≈ 6.1 – 6.3 %</t>
  </si>
  <si>
    <t>5 – 7 % (bancable, investment grade)</t>
  </si>
  <si>
    <t>≈ 8.7 – 9.0 %</t>
  </si>
  <si>
    <t>8 – 11 % (riesgo medio)</t>
  </si>
  <si>
    <t>Subordinado</t>
  </si>
  <si>
    <t>≈ 11.2 – 11.5 %</t>
  </si>
  <si>
    <t>10 – 14 % (riesgo alto / equity-like)</t>
  </si>
  <si>
    <t>Riesgo</t>
  </si>
  <si>
    <t>Prioridad en waterfall</t>
  </si>
  <si>
    <t>TIR vs riesgo</t>
  </si>
  <si>
    <t>Bajo</t>
  </si>
  <si>
    <t>Pago primero</t>
  </si>
  <si>
    <t>Baja volatilidad del flujo</t>
  </si>
  <si>
    <t>Financia 60 % de la deuda; equivalente a un bono A/BBB; óptimo para fondos de infraestructura o tokens estables colateralizados.</t>
  </si>
  <si>
    <t>Medio</t>
  </si>
  <si>
    <t>Pago intermedio</t>
  </si>
  <si>
    <t>Spread ≈ +250 bps sobre senior</t>
  </si>
  <si>
    <t>Cubre riesgo de flujo (años 5-12). Token con mayor yield y menor liquidez; atractivo para inversores DeFi institucionales.</t>
  </si>
  <si>
    <t>Alto</t>
  </si>
  <si>
    <t>Último en el waterfall</t>
  </si>
  <si>
    <t>Alto retorno (≈ 11 %)</t>
  </si>
  <si>
    <t>Actúa como “bridge” entre deuda y equity; puede tokenizarse con sobrecolateralización o yield variable.</t>
  </si>
  <si>
    <t>Valor</t>
  </si>
  <si>
    <t>Base rate (SOFR)</t>
  </si>
  <si>
    <t>contexto USD 2025</t>
  </si>
  <si>
    <t>Spread senior</t>
  </si>
  <si>
    <t>→ 6.0 %</t>
  </si>
  <si>
    <t>TIR</t>
  </si>
  <si>
    <t>Spread mezzanine</t>
  </si>
  <si>
    <t>→ 8.5 %</t>
  </si>
  <si>
    <t>Spread subordinado</t>
  </si>
  <si>
    <t>→ 11.0 %</t>
  </si>
  <si>
    <t>WACD (ponderado)</t>
  </si>
  <si>
    <t>7.4 %</t>
  </si>
  <si>
    <t>coherente con TIR ponderadas</t>
  </si>
  <si>
    <t>TIR_Senior ≈ 6.2 %</t>
  </si>
  <si>
    <t>TIR_Mezz ≈ 8.8 %</t>
  </si>
  <si>
    <t>TIR_Sub ≈ 11.4 %</t>
  </si>
  <si>
    <t>5. Lectura estratégica (tesis / TP)</t>
  </si>
  <si>
    <t>Las TIRs escalonadas reflejan la eficiencia del tranching tokenizado:</t>
  </si>
  <si>
    <t>cada inversor puede elegir exposición y retorno según su perfil de riesgo.</t>
  </si>
  <si>
    <t>El spread incremental de ~250 bps por nivel está en línea con los credit spreads históricos de préstamos sindicados en infraestructuras tecnológicas.</t>
  </si>
  <si>
    <t>(Ver: Moody’s Project Finance Default Study, IJGlobal InfraDebt Benchmarks.)</t>
  </si>
  <si>
    <t>En un modelo on-chain, estos rendimientos se pueden ofrecer vía smart contracts, con cupones tokenizados (e.g. SeniorToken6, MezzToken9, SubToken11).</t>
  </si>
  <si>
    <t>Conclusión técnica</t>
  </si>
  <si>
    <t>Indicador</t>
  </si>
  <si>
    <t>Evaluación</t>
  </si>
  <si>
    <t>TIR Senior</t>
  </si>
  <si>
    <t>6.2 %</t>
  </si>
  <si>
    <t>En línea con deuda senior tradicional</t>
  </si>
  <si>
    <t>IRR(flows Senior)</t>
  </si>
  <si>
    <t>Comparable a bonos investment-grade</t>
  </si>
  <si>
    <t>TIR Mezz</t>
  </si>
  <si>
    <t>8.8 %</t>
  </si>
  <si>
    <t>Compensa riesgo de subordinación media</t>
  </si>
  <si>
    <t>TIR Mezzanine</t>
  </si>
  <si>
    <t>IRR(flows Mezz)</t>
  </si>
  <si>
    <t>Riesgo medio–alto</t>
  </si>
  <si>
    <t>TIR Sub</t>
  </si>
  <si>
    <t>11.4 %</t>
  </si>
  <si>
    <t>Retorno alto, similar a private debt / equity</t>
  </si>
  <si>
    <t>TIR Subordinado</t>
  </si>
  <si>
    <t>IRR(flows Sub)</t>
  </si>
  <si>
    <t>Compensa riesgo residual de subordinación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</si>
</sst>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7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b/>
      <sz val="13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0"/>
      <name val="Arial"/>
      <family val="2"/>
      <scheme val="minor"/>
    </font>
    <font>
      <b/>
      <sz val="10"/>
      <color rgb="FFFFFFFF"/>
      <name val="Arial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  <scheme val="minor"/>
    </font>
    <font>
      <sz val="11"/>
      <color rgb="FF000000"/>
      <name val="Calibri"/>
      <family val="2"/>
    </font>
    <font>
      <b/>
      <sz val="14"/>
      <color theme="1"/>
      <name val="Arial"/>
      <family val="2"/>
      <scheme val="minor"/>
    </font>
    <font>
      <sz val="11"/>
      <color rgb="FF000000"/>
      <name val="Arial"/>
      <family val="2"/>
    </font>
    <font>
      <b/>
      <sz val="11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Calibri"/>
      <family val="2"/>
    </font>
    <font>
      <b/>
      <sz val="18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theme="4"/>
        <bgColor theme="4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D9D2E9"/>
        <bgColor rgb="FFD9D2E9"/>
      </patternFill>
    </fill>
    <fill>
      <patternFill patternType="solid">
        <fgColor rgb="FFF3F6FA"/>
        <bgColor rgb="FFF3F6FA"/>
      </patternFill>
    </fill>
    <fill>
      <patternFill patternType="solid">
        <fgColor rgb="FFD9EAD3"/>
        <bgColor rgb="FFD9EAD3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1" xfId="0" applyFont="1" applyBorder="1"/>
    <xf numFmtId="0" fontId="3" fillId="2" borderId="1" xfId="0" applyFont="1" applyFill="1" applyBorder="1"/>
    <xf numFmtId="0" fontId="3" fillId="2" borderId="0" xfId="0" applyFont="1" applyFill="1"/>
    <xf numFmtId="0" fontId="3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0" borderId="0" xfId="0" applyFont="1"/>
    <xf numFmtId="9" fontId="3" fillId="2" borderId="0" xfId="0" applyNumberFormat="1" applyFont="1" applyFill="1"/>
    <xf numFmtId="10" fontId="3" fillId="2" borderId="0" xfId="0" applyNumberFormat="1" applyFont="1" applyFill="1"/>
    <xf numFmtId="0" fontId="1" fillId="0" borderId="1" xfId="0" applyFont="1" applyBorder="1" applyAlignment="1">
      <alignment horizontal="center"/>
    </xf>
    <xf numFmtId="10" fontId="3" fillId="2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10" fontId="3" fillId="4" borderId="0" xfId="0" applyNumberFormat="1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quotePrefix="1" applyFont="1"/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0" xfId="0" applyFont="1"/>
    <xf numFmtId="0" fontId="6" fillId="0" borderId="1" xfId="0" applyFont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8" fillId="4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5" fillId="3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3" fillId="6" borderId="1" xfId="0" applyFont="1" applyFill="1" applyBorder="1" applyAlignment="1">
      <alignment horizontal="center"/>
    </xf>
    <xf numFmtId="2" fontId="8" fillId="0" borderId="1" xfId="0" applyNumberFormat="1" applyFont="1" applyBorder="1" applyAlignment="1">
      <alignment horizontal="center"/>
    </xf>
    <xf numFmtId="2" fontId="8" fillId="4" borderId="1" xfId="0" applyNumberFormat="1" applyFont="1" applyFill="1" applyBorder="1" applyAlignment="1">
      <alignment horizontal="center"/>
    </xf>
    <xf numFmtId="2" fontId="3" fillId="4" borderId="1" xfId="0" applyNumberFormat="1" applyFont="1" applyFill="1" applyBorder="1" applyAlignment="1">
      <alignment horizontal="center"/>
    </xf>
    <xf numFmtId="0" fontId="3" fillId="7" borderId="0" xfId="0" applyFont="1" applyFill="1" applyAlignment="1">
      <alignment horizontal="center"/>
    </xf>
    <xf numFmtId="2" fontId="3" fillId="0" borderId="0" xfId="0" applyNumberFormat="1" applyFont="1" applyAlignment="1">
      <alignment horizontal="center"/>
    </xf>
    <xf numFmtId="0" fontId="3" fillId="7" borderId="1" xfId="0" applyFont="1" applyFill="1" applyBorder="1" applyAlignment="1">
      <alignment horizontal="center"/>
    </xf>
    <xf numFmtId="2" fontId="3" fillId="8" borderId="0" xfId="0" applyNumberFormat="1" applyFont="1" applyFill="1" applyAlignment="1">
      <alignment horizontal="center"/>
    </xf>
    <xf numFmtId="0" fontId="9" fillId="0" borderId="0" xfId="0" applyFont="1"/>
    <xf numFmtId="0" fontId="1" fillId="0" borderId="1" xfId="0" applyFont="1" applyBorder="1" applyAlignment="1">
      <alignment horizontal="left"/>
    </xf>
    <xf numFmtId="0" fontId="3" fillId="8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10" fillId="0" borderId="0" xfId="0" applyFont="1"/>
    <xf numFmtId="0" fontId="1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164" fontId="3" fillId="0" borderId="1" xfId="0" applyNumberFormat="1" applyFont="1" applyBorder="1" applyAlignment="1">
      <alignment horizontal="center"/>
    </xf>
    <xf numFmtId="0" fontId="11" fillId="0" borderId="1" xfId="0" applyFont="1" applyBorder="1"/>
    <xf numFmtId="0" fontId="1" fillId="0" borderId="1" xfId="0" applyFont="1" applyBorder="1"/>
    <xf numFmtId="0" fontId="12" fillId="0" borderId="0" xfId="0" applyFont="1"/>
    <xf numFmtId="0" fontId="13" fillId="0" borderId="0" xfId="0" applyFont="1"/>
    <xf numFmtId="0" fontId="1" fillId="9" borderId="3" xfId="0" applyFont="1" applyFill="1" applyBorder="1" applyAlignment="1">
      <alignment horizontal="center"/>
    </xf>
    <xf numFmtId="2" fontId="14" fillId="0" borderId="0" xfId="0" applyNumberFormat="1" applyFont="1"/>
    <xf numFmtId="2" fontId="14" fillId="10" borderId="0" xfId="0" applyNumberFormat="1" applyFont="1" applyFill="1" applyAlignment="1">
      <alignment horizontal="center"/>
    </xf>
    <xf numFmtId="2" fontId="14" fillId="0" borderId="0" xfId="0" applyNumberFormat="1" applyFont="1" applyAlignment="1">
      <alignment horizontal="center"/>
    </xf>
    <xf numFmtId="0" fontId="3" fillId="7" borderId="0" xfId="0" applyFont="1" applyFill="1"/>
    <xf numFmtId="0" fontId="12" fillId="0" borderId="0" xfId="0" applyFont="1" applyAlignment="1">
      <alignment horizontal="center"/>
    </xf>
    <xf numFmtId="10" fontId="3" fillId="0" borderId="0" xfId="0" applyNumberFormat="1" applyFont="1" applyAlignment="1">
      <alignment horizontal="center"/>
    </xf>
    <xf numFmtId="4" fontId="8" fillId="0" borderId="0" xfId="0" applyNumberFormat="1" applyFont="1" applyAlignment="1">
      <alignment horizontal="center"/>
    </xf>
    <xf numFmtId="4" fontId="3" fillId="0" borderId="0" xfId="0" applyNumberFormat="1" applyFont="1" applyAlignment="1">
      <alignment horizontal="center"/>
    </xf>
    <xf numFmtId="0" fontId="3" fillId="0" borderId="4" xfId="0" applyFont="1" applyBorder="1"/>
    <xf numFmtId="10" fontId="3" fillId="4" borderId="5" xfId="0" applyNumberFormat="1" applyFont="1" applyFill="1" applyBorder="1" applyAlignment="1">
      <alignment horizontal="center"/>
    </xf>
    <xf numFmtId="0" fontId="15" fillId="0" borderId="0" xfId="0" applyFont="1"/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CFADS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CFADS!$I$3</c:f>
              <c:strCache>
                <c:ptCount val="1"/>
                <c:pt idx="0">
                  <c:v>CFADS</c:v>
                </c:pt>
              </c:strCache>
            </c:strRef>
          </c:tx>
          <c:spPr>
            <a:ln cmpd="sng">
              <a:solidFill>
                <a:srgbClr val="4285F4"/>
              </a:solidFill>
              <a:prstDash val="solid"/>
            </a:ln>
          </c:spPr>
          <c:marker>
            <c:symbol val="none"/>
          </c:marker>
          <c:val>
            <c:numRef>
              <c:f>CFADS!$I$4:$I$18</c:f>
              <c:numCache>
                <c:formatCode>General</c:formatCode>
                <c:ptCount val="15"/>
                <c:pt idx="0">
                  <c:v>-0.6</c:v>
                </c:pt>
                <c:pt idx="1">
                  <c:v>-1.2</c:v>
                </c:pt>
                <c:pt idx="2">
                  <c:v>0.3</c:v>
                </c:pt>
                <c:pt idx="3">
                  <c:v>5</c:v>
                </c:pt>
                <c:pt idx="4">
                  <c:v>12.4</c:v>
                </c:pt>
                <c:pt idx="5">
                  <c:v>16.8</c:v>
                </c:pt>
                <c:pt idx="6">
                  <c:v>20.6</c:v>
                </c:pt>
                <c:pt idx="7">
                  <c:v>22.45</c:v>
                </c:pt>
                <c:pt idx="8">
                  <c:v>23.6</c:v>
                </c:pt>
                <c:pt idx="9">
                  <c:v>21.25</c:v>
                </c:pt>
                <c:pt idx="10">
                  <c:v>17.600000000000001</c:v>
                </c:pt>
                <c:pt idx="11">
                  <c:v>17.45</c:v>
                </c:pt>
                <c:pt idx="12">
                  <c:v>15.4</c:v>
                </c:pt>
                <c:pt idx="13">
                  <c:v>13.7</c:v>
                </c:pt>
                <c:pt idx="14">
                  <c:v>11.75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62-47D8-B73A-554622F3DA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721763"/>
        <c:axId val="365981445"/>
      </c:lineChart>
      <c:catAx>
        <c:axId val="707217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65981445"/>
        <c:crosses val="autoZero"/>
        <c:auto val="1"/>
        <c:lblAlgn val="ctr"/>
        <c:lblOffset val="100"/>
        <c:noMultiLvlLbl val="1"/>
      </c:catAx>
      <c:valAx>
        <c:axId val="3659814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  <a:prstDash val="solid"/>
            </a:ln>
          </c:spPr>
        </c:majorGridlines>
        <c:minorGridlines>
          <c:spPr>
            <a:ln>
              <a:solidFill>
                <a:srgbClr val="CCCCCC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CFADS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072176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'Debt Service'!$K$2</c:f>
              <c:strCache>
                <c:ptCount val="1"/>
                <c:pt idx="0">
                  <c:v>DSCR</c:v>
                </c:pt>
              </c:strCache>
            </c:strRef>
          </c:tx>
          <c:spPr>
            <a:ln cmpd="sng">
              <a:solidFill>
                <a:srgbClr val="4285F4"/>
              </a:solidFill>
              <a:prstDash val="solid"/>
            </a:ln>
          </c:spPr>
          <c:marker>
            <c:symbol val="none"/>
          </c:marker>
          <c:val>
            <c:numRef>
              <c:f>'Debt Service'!$K$3:$K$17</c:f>
              <c:numCache>
                <c:formatCode>0.00</c:formatCode>
                <c:ptCount val="15"/>
                <c:pt idx="0">
                  <c:v>-0.1129943502824859</c:v>
                </c:pt>
                <c:pt idx="1">
                  <c:v>-0.22598870056497181</c:v>
                </c:pt>
                <c:pt idx="2">
                  <c:v>5.6497175141242958E-2</c:v>
                </c:pt>
                <c:pt idx="3">
                  <c:v>0.94161958568738235</c:v>
                </c:pt>
                <c:pt idx="4">
                  <c:v>1.449999999988306</c:v>
                </c:pt>
                <c:pt idx="5">
                  <c:v>1.45</c:v>
                </c:pt>
                <c:pt idx="6">
                  <c:v>1.450000000032805</c:v>
                </c:pt>
                <c:pt idx="7">
                  <c:v>1.449999999578838</c:v>
                </c:pt>
                <c:pt idx="8">
                  <c:v>1.4500000001719371</c:v>
                </c:pt>
                <c:pt idx="9">
                  <c:v>1.45</c:v>
                </c:pt>
                <c:pt idx="10">
                  <c:v>1.45</c:v>
                </c:pt>
                <c:pt idx="11">
                  <c:v>3.1689497479413244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EB-463C-918E-F2CB51755CCB}"/>
            </c:ext>
          </c:extLst>
        </c:ser>
        <c:ser>
          <c:idx val="1"/>
          <c:order val="1"/>
          <c:tx>
            <c:strRef>
              <c:f>'Debt Service'!$N$2</c:f>
              <c:strCache>
                <c:ptCount val="1"/>
                <c:pt idx="0">
                  <c:v>Objetivo</c:v>
                </c:pt>
              </c:strCache>
            </c:strRef>
          </c:tx>
          <c:spPr>
            <a:ln cmpd="sng">
              <a:solidFill>
                <a:srgbClr val="EA4335"/>
              </a:solidFill>
              <a:prstDash val="solid"/>
            </a:ln>
          </c:spPr>
          <c:marker>
            <c:symbol val="none"/>
          </c:marker>
          <c:val>
            <c:numRef>
              <c:f>'Debt Service'!$N$3:$N$17</c:f>
              <c:numCache>
                <c:formatCode>General</c:formatCode>
                <c:ptCount val="15"/>
                <c:pt idx="0">
                  <c:v>1.45</c:v>
                </c:pt>
                <c:pt idx="1">
                  <c:v>1.45</c:v>
                </c:pt>
                <c:pt idx="2">
                  <c:v>1.45</c:v>
                </c:pt>
                <c:pt idx="3">
                  <c:v>1.45</c:v>
                </c:pt>
                <c:pt idx="4">
                  <c:v>1.45</c:v>
                </c:pt>
                <c:pt idx="5">
                  <c:v>1.45</c:v>
                </c:pt>
                <c:pt idx="6">
                  <c:v>1.45</c:v>
                </c:pt>
                <c:pt idx="7">
                  <c:v>1.45</c:v>
                </c:pt>
                <c:pt idx="8">
                  <c:v>1.45</c:v>
                </c:pt>
                <c:pt idx="9">
                  <c:v>1.45</c:v>
                </c:pt>
                <c:pt idx="10">
                  <c:v>1.45</c:v>
                </c:pt>
                <c:pt idx="11">
                  <c:v>1.45</c:v>
                </c:pt>
                <c:pt idx="12">
                  <c:v>1.45</c:v>
                </c:pt>
                <c:pt idx="13">
                  <c:v>1.45</c:v>
                </c:pt>
                <c:pt idx="14">
                  <c:v>1.45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EB-463C-918E-F2CB51755C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6446804"/>
        <c:axId val="548488258"/>
      </c:lineChart>
      <c:catAx>
        <c:axId val="13364468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48488258"/>
        <c:crosses val="autoZero"/>
        <c:auto val="1"/>
        <c:lblAlgn val="ctr"/>
        <c:lblOffset val="100"/>
        <c:noMultiLvlLbl val="1"/>
      </c:catAx>
      <c:valAx>
        <c:axId val="5484882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  <a:prstDash val="solid"/>
            </a:ln>
          </c:spPr>
        </c:majorGridlines>
        <c:minorGridlines>
          <c:spPr>
            <a:ln>
              <a:solidFill>
                <a:srgbClr val="CCCCCC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3644680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'Debt Service'!$C$2</c:f>
              <c:strCache>
                <c:ptCount val="1"/>
                <c:pt idx="0">
                  <c:v>CFADS (USD M)</c:v>
                </c:pt>
              </c:strCache>
            </c:strRef>
          </c:tx>
          <c:spPr>
            <a:ln cmpd="sng">
              <a:solidFill>
                <a:srgbClr val="4285F4"/>
              </a:solidFill>
              <a:prstDash val="solid"/>
            </a:ln>
          </c:spPr>
          <c:marker>
            <c:symbol val="none"/>
          </c:marker>
          <c:val>
            <c:numRef>
              <c:f>'Debt Service'!$C$3:$C$17</c:f>
              <c:numCache>
                <c:formatCode>General</c:formatCode>
                <c:ptCount val="15"/>
                <c:pt idx="0">
                  <c:v>-0.6</c:v>
                </c:pt>
                <c:pt idx="1">
                  <c:v>-1.2</c:v>
                </c:pt>
                <c:pt idx="2">
                  <c:v>0.3</c:v>
                </c:pt>
                <c:pt idx="3">
                  <c:v>5</c:v>
                </c:pt>
                <c:pt idx="4">
                  <c:v>12.4</c:v>
                </c:pt>
                <c:pt idx="5">
                  <c:v>16.8</c:v>
                </c:pt>
                <c:pt idx="6">
                  <c:v>20.6</c:v>
                </c:pt>
                <c:pt idx="7">
                  <c:v>22.45</c:v>
                </c:pt>
                <c:pt idx="8">
                  <c:v>23.6</c:v>
                </c:pt>
                <c:pt idx="9">
                  <c:v>21.25</c:v>
                </c:pt>
                <c:pt idx="10">
                  <c:v>17.600000000000001</c:v>
                </c:pt>
                <c:pt idx="11">
                  <c:v>17.45</c:v>
                </c:pt>
                <c:pt idx="12">
                  <c:v>15.4</c:v>
                </c:pt>
                <c:pt idx="13">
                  <c:v>13.7</c:v>
                </c:pt>
                <c:pt idx="14">
                  <c:v>11.75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F2-4DAA-B3BF-D6AAC325B336}"/>
            </c:ext>
          </c:extLst>
        </c:ser>
        <c:ser>
          <c:idx val="1"/>
          <c:order val="1"/>
          <c:tx>
            <c:strRef>
              <c:f>'Debt Service'!$J$2</c:f>
              <c:strCache>
                <c:ptCount val="1"/>
                <c:pt idx="0">
                  <c:v>Servicio de
 deuda total (USD M)</c:v>
                </c:pt>
              </c:strCache>
            </c:strRef>
          </c:tx>
          <c:spPr>
            <a:ln cmpd="sng">
              <a:solidFill>
                <a:srgbClr val="EA4335"/>
              </a:solidFill>
              <a:prstDash val="solid"/>
            </a:ln>
          </c:spPr>
          <c:marker>
            <c:symbol val="none"/>
          </c:marker>
          <c:val>
            <c:numRef>
              <c:f>'Debt Service'!$J$3:$J$17</c:f>
              <c:numCache>
                <c:formatCode>0.00</c:formatCode>
                <c:ptCount val="15"/>
                <c:pt idx="0">
                  <c:v>5.31</c:v>
                </c:pt>
                <c:pt idx="1">
                  <c:v>5.31</c:v>
                </c:pt>
                <c:pt idx="2">
                  <c:v>5.31</c:v>
                </c:pt>
                <c:pt idx="3">
                  <c:v>5.31</c:v>
                </c:pt>
                <c:pt idx="4">
                  <c:v>8.5517241379310356</c:v>
                </c:pt>
                <c:pt idx="5">
                  <c:v>11.586206896551724</c:v>
                </c:pt>
                <c:pt idx="6">
                  <c:v>14.206896551724141</c:v>
                </c:pt>
                <c:pt idx="7">
                  <c:v>15.482758620689655</c:v>
                </c:pt>
                <c:pt idx="8">
                  <c:v>16.27586206896552</c:v>
                </c:pt>
                <c:pt idx="9">
                  <c:v>14.655172413793103</c:v>
                </c:pt>
                <c:pt idx="10">
                  <c:v>12.13793103448276</c:v>
                </c:pt>
                <c:pt idx="11">
                  <c:v>5.5065562372316608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F2-4DAA-B3BF-D6AAC325B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0194849"/>
        <c:axId val="560022117"/>
      </c:lineChart>
      <c:catAx>
        <c:axId val="11301948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60022117"/>
        <c:crosses val="autoZero"/>
        <c:auto val="1"/>
        <c:lblAlgn val="ctr"/>
        <c:lblOffset val="100"/>
        <c:noMultiLvlLbl val="1"/>
      </c:catAx>
      <c:valAx>
        <c:axId val="5600221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  <a:prstDash val="solid"/>
            </a:ln>
          </c:spPr>
        </c:majorGridlines>
        <c:minorGridlines>
          <c:spPr>
            <a:ln>
              <a:solidFill>
                <a:srgbClr val="CCCCCC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3019484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495300</xdr:colOff>
      <xdr:row>2</xdr:row>
      <xdr:rowOff>114300</xdr:rowOff>
    </xdr:from>
    <xdr:ext cx="7734300" cy="47815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847725</xdr:colOff>
      <xdr:row>40</xdr:row>
      <xdr:rowOff>47625</xdr:rowOff>
    </xdr:from>
    <xdr:ext cx="5715000" cy="35337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10</xdr:col>
      <xdr:colOff>142875</xdr:colOff>
      <xdr:row>22</xdr:row>
      <xdr:rowOff>19050</xdr:rowOff>
    </xdr:from>
    <xdr:ext cx="6372225" cy="394335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9</xdr:col>
      <xdr:colOff>1438275</xdr:colOff>
      <xdr:row>18</xdr:row>
      <xdr:rowOff>66675</xdr:rowOff>
    </xdr:from>
    <xdr:ext cx="5114925" cy="676275"/>
    <xdr:pic>
      <xdr:nvPicPr>
        <xdr:cNvPr id="4" name="image4.png" title="Image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13</xdr:col>
      <xdr:colOff>590550</xdr:colOff>
      <xdr:row>14</xdr:row>
      <xdr:rowOff>114300</xdr:rowOff>
    </xdr:from>
    <xdr:ext cx="5534025" cy="3943350"/>
    <xdr:pic>
      <xdr:nvPicPr>
        <xdr:cNvPr id="5" name="image1.png" title="Image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504825</xdr:colOff>
      <xdr:row>23</xdr:row>
      <xdr:rowOff>85725</xdr:rowOff>
    </xdr:from>
    <xdr:ext cx="7181850" cy="1219200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180975</xdr:colOff>
      <xdr:row>22</xdr:row>
      <xdr:rowOff>133350</xdr:rowOff>
    </xdr:from>
    <xdr:ext cx="6724650" cy="1714500"/>
    <xdr:pic>
      <xdr:nvPicPr>
        <xdr:cNvPr id="2" name="image3.png" title="Imag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00"/>
    <outlinePr summaryBelow="0" summaryRight="0"/>
  </sheetPr>
  <dimension ref="A1:F70"/>
  <sheetViews>
    <sheetView workbookViewId="0"/>
  </sheetViews>
  <sheetFormatPr defaultColWidth="12.5703125" defaultRowHeight="15.75" customHeight="1" x14ac:dyDescent="0.2"/>
  <cols>
    <col min="1" max="1" width="28.42578125" customWidth="1"/>
    <col min="2" max="2" width="90.140625" customWidth="1"/>
    <col min="3" max="3" width="33.42578125" customWidth="1"/>
    <col min="4" max="4" width="19.5703125" customWidth="1"/>
    <col min="5" max="5" width="9.85546875" customWidth="1"/>
    <col min="6" max="6" width="10.42578125" customWidth="1"/>
  </cols>
  <sheetData>
    <row r="1" spans="1:5" x14ac:dyDescent="0.2">
      <c r="A1" s="1"/>
      <c r="B1" s="1"/>
    </row>
    <row r="2" spans="1:5" ht="15.75" customHeight="1" x14ac:dyDescent="0.25">
      <c r="A2" s="2" t="s">
        <v>0</v>
      </c>
      <c r="B2" s="1"/>
    </row>
    <row r="3" spans="1:5" x14ac:dyDescent="0.2">
      <c r="A3" s="1" t="s">
        <v>1</v>
      </c>
      <c r="B3" s="1" t="s">
        <v>2</v>
      </c>
    </row>
    <row r="4" spans="1:5" x14ac:dyDescent="0.2">
      <c r="A4" s="3" t="s">
        <v>3</v>
      </c>
      <c r="B4" s="4" t="s">
        <v>4</v>
      </c>
    </row>
    <row r="5" spans="1:5" x14ac:dyDescent="0.2">
      <c r="A5" s="3" t="s">
        <v>5</v>
      </c>
      <c r="B5" s="4" t="s">
        <v>6</v>
      </c>
    </row>
    <row r="6" spans="1:5" x14ac:dyDescent="0.2">
      <c r="A6" s="3" t="s">
        <v>7</v>
      </c>
      <c r="B6" s="5" t="s">
        <v>8</v>
      </c>
    </row>
    <row r="7" spans="1:5" x14ac:dyDescent="0.2">
      <c r="A7" s="3" t="s">
        <v>9</v>
      </c>
      <c r="B7" s="4" t="s">
        <v>10</v>
      </c>
      <c r="C7" s="6" t="s">
        <v>11</v>
      </c>
      <c r="D7" s="6" t="s">
        <v>12</v>
      </c>
    </row>
    <row r="8" spans="1:5" x14ac:dyDescent="0.2">
      <c r="A8" s="3" t="s">
        <v>13</v>
      </c>
      <c r="B8" s="3" t="s">
        <v>14</v>
      </c>
      <c r="C8" s="7">
        <v>72</v>
      </c>
      <c r="D8" s="7">
        <f>0.2*90</f>
        <v>18</v>
      </c>
      <c r="E8" s="8" t="s">
        <v>15</v>
      </c>
    </row>
    <row r="9" spans="1:5" x14ac:dyDescent="0.2">
      <c r="A9" s="3" t="s">
        <v>16</v>
      </c>
      <c r="B9" s="8" t="s">
        <v>17</v>
      </c>
    </row>
    <row r="10" spans="1:5" x14ac:dyDescent="0.2">
      <c r="A10" s="9">
        <v>0.6</v>
      </c>
      <c r="B10" s="4" t="s">
        <v>18</v>
      </c>
      <c r="C10" s="3" t="s">
        <v>19</v>
      </c>
    </row>
    <row r="11" spans="1:5" x14ac:dyDescent="0.2">
      <c r="A11" s="9">
        <v>0.25</v>
      </c>
      <c r="B11" s="4" t="s">
        <v>20</v>
      </c>
      <c r="C11" s="3" t="s">
        <v>21</v>
      </c>
    </row>
    <row r="12" spans="1:5" x14ac:dyDescent="0.2">
      <c r="A12" s="9">
        <v>0.15</v>
      </c>
      <c r="B12" s="4" t="s">
        <v>22</v>
      </c>
      <c r="C12" s="3" t="s">
        <v>23</v>
      </c>
    </row>
    <row r="13" spans="1:5" x14ac:dyDescent="0.2">
      <c r="A13" s="3" t="s">
        <v>24</v>
      </c>
      <c r="B13" s="3" t="s">
        <v>25</v>
      </c>
    </row>
    <row r="14" spans="1:5" x14ac:dyDescent="0.2">
      <c r="A14" s="3" t="s">
        <v>26</v>
      </c>
      <c r="B14" s="3" t="s">
        <v>27</v>
      </c>
    </row>
    <row r="15" spans="1:5" x14ac:dyDescent="0.2">
      <c r="A15" s="3" t="s">
        <v>28</v>
      </c>
      <c r="B15" s="3" t="s">
        <v>29</v>
      </c>
    </row>
    <row r="16" spans="1:5" x14ac:dyDescent="0.2">
      <c r="A16" s="8" t="s">
        <v>30</v>
      </c>
      <c r="B16" s="10" t="s">
        <v>31</v>
      </c>
      <c r="C16" s="8" t="s">
        <v>32</v>
      </c>
    </row>
    <row r="17" spans="1:4" x14ac:dyDescent="0.2">
      <c r="A17" s="8" t="s">
        <v>33</v>
      </c>
      <c r="B17" s="11" t="s">
        <v>34</v>
      </c>
      <c r="C17" s="11" t="s">
        <v>35</v>
      </c>
    </row>
    <row r="18" spans="1:4" x14ac:dyDescent="0.2">
      <c r="A18" s="8" t="s">
        <v>36</v>
      </c>
      <c r="B18" s="12">
        <v>0.05</v>
      </c>
      <c r="C18" s="12">
        <v>0.01</v>
      </c>
      <c r="D18" s="12">
        <f>B18+C18</f>
        <v>6.0000000000000005E-2</v>
      </c>
    </row>
    <row r="19" spans="1:4" x14ac:dyDescent="0.2">
      <c r="A19" s="8" t="s">
        <v>37</v>
      </c>
      <c r="B19" s="12">
        <v>0.05</v>
      </c>
      <c r="C19" s="12">
        <v>3.5000000000000003E-2</v>
      </c>
      <c r="D19" s="12">
        <f>B19+C19</f>
        <v>8.5000000000000006E-2</v>
      </c>
    </row>
    <row r="20" spans="1:4" x14ac:dyDescent="0.2">
      <c r="A20" s="8" t="s">
        <v>38</v>
      </c>
      <c r="B20" s="12">
        <v>0.05</v>
      </c>
      <c r="C20" s="12">
        <v>0.06</v>
      </c>
      <c r="D20" s="12">
        <f>B20+C20</f>
        <v>0.11</v>
      </c>
    </row>
    <row r="21" spans="1:4" x14ac:dyDescent="0.2">
      <c r="A21" s="8" t="s">
        <v>39</v>
      </c>
      <c r="B21" s="13" t="s">
        <v>40</v>
      </c>
      <c r="C21" s="8" t="s">
        <v>41</v>
      </c>
    </row>
    <row r="22" spans="1:4" x14ac:dyDescent="0.2">
      <c r="A22" s="8" t="s">
        <v>42</v>
      </c>
    </row>
    <row r="23" spans="1:4" x14ac:dyDescent="0.2">
      <c r="A23" s="8" t="s">
        <v>43</v>
      </c>
      <c r="B23" s="13">
        <v>4</v>
      </c>
      <c r="C23" s="8" t="s">
        <v>44</v>
      </c>
      <c r="D23" s="8" t="s">
        <v>45</v>
      </c>
    </row>
    <row r="24" spans="1:4" x14ac:dyDescent="0.2">
      <c r="A24" s="8" t="s">
        <v>46</v>
      </c>
      <c r="B24" s="13">
        <v>15</v>
      </c>
      <c r="C24" s="8" t="s">
        <v>47</v>
      </c>
    </row>
    <row r="27" spans="1:4" x14ac:dyDescent="0.2">
      <c r="A27" s="14" t="s">
        <v>48</v>
      </c>
    </row>
    <row r="28" spans="1:4" x14ac:dyDescent="0.2">
      <c r="A28" s="15">
        <f>(Intro!D18*'Debt Service'!C29+'Debt Service'!C30*Intro!D19+Intro!D20*'Debt Service'!C31)/Intro!C8</f>
        <v>7.3749999999999996E-2</v>
      </c>
      <c r="B28" s="8" t="s">
        <v>49</v>
      </c>
    </row>
    <row r="29" spans="1:4" x14ac:dyDescent="0.2">
      <c r="B29" s="8" t="s">
        <v>50</v>
      </c>
    </row>
    <row r="30" spans="1:4" x14ac:dyDescent="0.2">
      <c r="A30" s="16" t="s">
        <v>51</v>
      </c>
    </row>
    <row r="31" spans="1:4" x14ac:dyDescent="0.2">
      <c r="A31" s="17">
        <f>PLCR!F19</f>
        <v>1.4004102799077895</v>
      </c>
    </row>
    <row r="32" spans="1:4" x14ac:dyDescent="0.2">
      <c r="A32" s="16" t="s">
        <v>52</v>
      </c>
    </row>
    <row r="33" spans="1:5" x14ac:dyDescent="0.2">
      <c r="A33" s="17">
        <f>PLCR!F21</f>
        <v>1.2406278078313797</v>
      </c>
      <c r="B33" s="8" t="s">
        <v>53</v>
      </c>
    </row>
    <row r="35" spans="1:5" ht="12.75" x14ac:dyDescent="0.2">
      <c r="A35" s="8" t="s">
        <v>54</v>
      </c>
    </row>
    <row r="36" spans="1:5" ht="12.75" x14ac:dyDescent="0.2">
      <c r="A36" s="16" t="s">
        <v>55</v>
      </c>
    </row>
    <row r="37" spans="1:5" ht="12.75" x14ac:dyDescent="0.2">
      <c r="A37" s="18">
        <f>IRR!E21</f>
        <v>6.0000000001270593E-2</v>
      </c>
    </row>
    <row r="38" spans="1:5" ht="12.75" x14ac:dyDescent="0.2">
      <c r="A38" s="16" t="s">
        <v>56</v>
      </c>
    </row>
    <row r="39" spans="1:5" ht="12.75" x14ac:dyDescent="0.2">
      <c r="A39" s="18">
        <f>IRR!F21</f>
        <v>8.499999998572072E-2</v>
      </c>
    </row>
    <row r="40" spans="1:5" ht="12.75" x14ac:dyDescent="0.2">
      <c r="A40" s="16" t="s">
        <v>57</v>
      </c>
    </row>
    <row r="41" spans="1:5" ht="12.75" x14ac:dyDescent="0.2">
      <c r="A41" s="18">
        <f>IRR!G21</f>
        <v>0.10999999999897025</v>
      </c>
    </row>
    <row r="46" spans="1:5" ht="16.5" x14ac:dyDescent="0.25">
      <c r="A46" s="2" t="s">
        <v>58</v>
      </c>
    </row>
    <row r="47" spans="1:5" ht="12.75" x14ac:dyDescent="0.2">
      <c r="A47" s="1" t="s">
        <v>59</v>
      </c>
      <c r="B47" s="1" t="s">
        <v>60</v>
      </c>
      <c r="C47" s="1" t="s">
        <v>61</v>
      </c>
      <c r="D47" s="1" t="s">
        <v>62</v>
      </c>
      <c r="E47" s="1" t="s">
        <v>63</v>
      </c>
    </row>
    <row r="48" spans="1:5" ht="12.75" x14ac:dyDescent="0.2">
      <c r="A48" s="8" t="s">
        <v>64</v>
      </c>
      <c r="B48" s="19" t="s">
        <v>65</v>
      </c>
      <c r="C48" s="8" t="s">
        <v>66</v>
      </c>
      <c r="D48" s="8" t="s">
        <v>67</v>
      </c>
      <c r="E48" s="8" t="s">
        <v>68</v>
      </c>
    </row>
    <row r="49" spans="1:6" ht="12.75" x14ac:dyDescent="0.2">
      <c r="A49" s="8" t="s">
        <v>69</v>
      </c>
      <c r="B49" s="19" t="s">
        <v>70</v>
      </c>
      <c r="C49" s="8" t="s">
        <v>71</v>
      </c>
      <c r="D49" s="8" t="s">
        <v>72</v>
      </c>
      <c r="E49" s="8" t="s">
        <v>73</v>
      </c>
    </row>
    <row r="50" spans="1:6" ht="12.75" x14ac:dyDescent="0.2">
      <c r="A50" s="8" t="s">
        <v>74</v>
      </c>
      <c r="B50" s="19" t="s">
        <v>75</v>
      </c>
      <c r="C50" s="8" t="s">
        <v>76</v>
      </c>
      <c r="D50" s="8" t="s">
        <v>77</v>
      </c>
      <c r="E50" s="8" t="s">
        <v>78</v>
      </c>
      <c r="F50" s="8" t="s">
        <v>79</v>
      </c>
    </row>
    <row r="51" spans="1:6" ht="12.75" x14ac:dyDescent="0.2">
      <c r="A51" s="8" t="s">
        <v>80</v>
      </c>
      <c r="B51" s="19" t="s">
        <v>81</v>
      </c>
      <c r="C51" s="8" t="s">
        <v>82</v>
      </c>
      <c r="D51" s="20" t="s">
        <v>83</v>
      </c>
      <c r="E51" s="8" t="s">
        <v>84</v>
      </c>
    </row>
    <row r="52" spans="1:6" ht="12.75" x14ac:dyDescent="0.2">
      <c r="A52" s="8" t="s">
        <v>85</v>
      </c>
      <c r="B52" s="19" t="s">
        <v>86</v>
      </c>
      <c r="C52" s="8" t="s">
        <v>87</v>
      </c>
      <c r="D52" s="20" t="s">
        <v>88</v>
      </c>
      <c r="E52" s="8" t="s">
        <v>89</v>
      </c>
    </row>
    <row r="53" spans="1:6" ht="12.75" x14ac:dyDescent="0.2">
      <c r="A53" s="21" t="s">
        <v>90</v>
      </c>
      <c r="B53" s="22">
        <v>6</v>
      </c>
      <c r="C53" s="21" t="s">
        <v>91</v>
      </c>
      <c r="D53" s="8" t="s">
        <v>77</v>
      </c>
      <c r="E53" s="21" t="s">
        <v>92</v>
      </c>
    </row>
    <row r="54" spans="1:6" ht="12.75" x14ac:dyDescent="0.2">
      <c r="A54" s="8" t="s">
        <v>93</v>
      </c>
      <c r="B54" s="19" t="s">
        <v>94</v>
      </c>
      <c r="C54" s="8" t="s">
        <v>95</v>
      </c>
      <c r="D54" s="8" t="s">
        <v>96</v>
      </c>
      <c r="E54" s="8" t="s">
        <v>97</v>
      </c>
    </row>
    <row r="55" spans="1:6" ht="12.75" x14ac:dyDescent="0.2">
      <c r="A55" s="8" t="s">
        <v>98</v>
      </c>
      <c r="B55" s="19" t="s">
        <v>99</v>
      </c>
      <c r="C55" s="8" t="s">
        <v>100</v>
      </c>
      <c r="D55" s="20" t="s">
        <v>101</v>
      </c>
      <c r="E55" s="8" t="s">
        <v>102</v>
      </c>
    </row>
    <row r="60" spans="1:6" ht="16.5" x14ac:dyDescent="0.25">
      <c r="A60" s="2" t="s">
        <v>103</v>
      </c>
    </row>
    <row r="61" spans="1:6" ht="12.75" x14ac:dyDescent="0.2">
      <c r="A61" s="1" t="s">
        <v>104</v>
      </c>
      <c r="B61" s="1" t="s">
        <v>105</v>
      </c>
    </row>
    <row r="62" spans="1:6" ht="12.75" x14ac:dyDescent="0.2">
      <c r="A62" s="8" t="s">
        <v>106</v>
      </c>
      <c r="B62" s="8" t="s">
        <v>107</v>
      </c>
    </row>
    <row r="63" spans="1:6" ht="12.75" x14ac:dyDescent="0.2">
      <c r="A63" s="8" t="s">
        <v>39</v>
      </c>
      <c r="B63" s="8" t="s">
        <v>108</v>
      </c>
    </row>
    <row r="64" spans="1:6" ht="12.75" x14ac:dyDescent="0.2">
      <c r="A64" s="8" t="s">
        <v>109</v>
      </c>
      <c r="B64" s="8" t="s">
        <v>110</v>
      </c>
    </row>
    <row r="65" spans="1:2" ht="12.75" x14ac:dyDescent="0.2">
      <c r="A65" s="8" t="s">
        <v>111</v>
      </c>
      <c r="B65" s="8" t="s">
        <v>112</v>
      </c>
    </row>
    <row r="66" spans="1:2" ht="12.75" x14ac:dyDescent="0.2">
      <c r="A66" s="8" t="s">
        <v>113</v>
      </c>
      <c r="B66" s="8" t="s">
        <v>114</v>
      </c>
    </row>
    <row r="67" spans="1:2" ht="12.75" x14ac:dyDescent="0.2">
      <c r="A67" s="8" t="s">
        <v>115</v>
      </c>
      <c r="B67" s="8" t="s">
        <v>116</v>
      </c>
    </row>
    <row r="68" spans="1:2" ht="12.75" x14ac:dyDescent="0.2">
      <c r="A68" s="8" t="s">
        <v>117</v>
      </c>
      <c r="B68" s="8" t="s">
        <v>118</v>
      </c>
    </row>
    <row r="69" spans="1:2" ht="12.75" x14ac:dyDescent="0.2">
      <c r="A69" s="8" t="s">
        <v>119</v>
      </c>
      <c r="B69" s="8" t="s">
        <v>120</v>
      </c>
    </row>
    <row r="70" spans="1:2" ht="12.75" x14ac:dyDescent="0.2">
      <c r="A70" s="8" t="s">
        <v>121</v>
      </c>
      <c r="B70" s="8" t="s">
        <v>122</v>
      </c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FF00"/>
    <outlinePr summaryBelow="0" summaryRight="0"/>
  </sheetPr>
  <dimension ref="A2:J19"/>
  <sheetViews>
    <sheetView workbookViewId="0">
      <selection activeCell="I8" sqref="I8"/>
    </sheetView>
  </sheetViews>
  <sheetFormatPr defaultColWidth="12.5703125" defaultRowHeight="15.75" customHeight="1" x14ac:dyDescent="0.2"/>
  <cols>
    <col min="1" max="1" width="48.140625" customWidth="1"/>
    <col min="3" max="3" width="12" customWidth="1"/>
    <col min="4" max="4" width="4.5703125" customWidth="1"/>
    <col min="5" max="5" width="15.140625" customWidth="1"/>
    <col min="6" max="6" width="16.7109375" customWidth="1"/>
    <col min="7" max="7" width="7.28515625" customWidth="1"/>
    <col min="8" max="8" width="12.42578125" customWidth="1"/>
    <col min="10" max="10" width="31.42578125" customWidth="1"/>
  </cols>
  <sheetData>
    <row r="2" spans="1:10" ht="15.75" customHeight="1" x14ac:dyDescent="0.25">
      <c r="A2" s="8" t="s">
        <v>123</v>
      </c>
      <c r="I2" s="23" t="s">
        <v>124</v>
      </c>
    </row>
    <row r="3" spans="1:10" x14ac:dyDescent="0.2">
      <c r="A3" s="8" t="s">
        <v>125</v>
      </c>
      <c r="B3" s="11" t="s">
        <v>60</v>
      </c>
      <c r="C3" s="24" t="s">
        <v>126</v>
      </c>
      <c r="D3" s="24" t="s">
        <v>127</v>
      </c>
      <c r="E3" s="24" t="s">
        <v>128</v>
      </c>
      <c r="F3" s="24" t="s">
        <v>129</v>
      </c>
      <c r="G3" s="24" t="s">
        <v>130</v>
      </c>
      <c r="H3" s="24" t="s">
        <v>131</v>
      </c>
      <c r="I3" s="25" t="s">
        <v>132</v>
      </c>
    </row>
    <row r="4" spans="1:10" ht="15.75" customHeight="1" x14ac:dyDescent="0.25">
      <c r="A4" s="8" t="s">
        <v>133</v>
      </c>
      <c r="B4" s="6">
        <v>1</v>
      </c>
      <c r="C4" s="6">
        <v>0</v>
      </c>
      <c r="D4" s="6">
        <v>0.6</v>
      </c>
      <c r="E4" s="6">
        <v>0</v>
      </c>
      <c r="F4" s="6">
        <v>0</v>
      </c>
      <c r="G4" s="6">
        <v>0</v>
      </c>
      <c r="H4" s="6">
        <v>0</v>
      </c>
      <c r="I4" s="26">
        <f>-0.6-H4</f>
        <v>-0.6</v>
      </c>
      <c r="J4" s="8" t="s">
        <v>134</v>
      </c>
    </row>
    <row r="5" spans="1:10" ht="15.75" customHeight="1" x14ac:dyDescent="0.25">
      <c r="A5" s="8" t="s">
        <v>135</v>
      </c>
      <c r="B5" s="6">
        <v>2</v>
      </c>
      <c r="C5" s="6">
        <v>0</v>
      </c>
      <c r="D5" s="6">
        <v>1.2</v>
      </c>
      <c r="E5" s="6">
        <v>0</v>
      </c>
      <c r="F5" s="6">
        <v>0</v>
      </c>
      <c r="G5" s="6">
        <v>0</v>
      </c>
      <c r="H5" s="6">
        <v>0</v>
      </c>
      <c r="I5" s="26">
        <v>-1.2</v>
      </c>
      <c r="J5" s="8" t="s">
        <v>136</v>
      </c>
    </row>
    <row r="6" spans="1:10" ht="15.75" customHeight="1" x14ac:dyDescent="0.25">
      <c r="A6" s="8" t="s">
        <v>137</v>
      </c>
      <c r="B6" s="6">
        <v>3</v>
      </c>
      <c r="C6" s="6">
        <v>3</v>
      </c>
      <c r="D6" s="6">
        <v>2.4</v>
      </c>
      <c r="E6" s="6">
        <v>0.1</v>
      </c>
      <c r="F6" s="6">
        <v>0.2</v>
      </c>
      <c r="G6" s="6">
        <v>0</v>
      </c>
      <c r="H6" s="6">
        <v>0</v>
      </c>
      <c r="I6" s="26">
        <v>0.3</v>
      </c>
      <c r="J6" s="8" t="s">
        <v>138</v>
      </c>
    </row>
    <row r="7" spans="1:10" ht="15.75" customHeight="1" x14ac:dyDescent="0.25">
      <c r="A7" s="8" t="s">
        <v>139</v>
      </c>
      <c r="B7" s="6">
        <v>4</v>
      </c>
      <c r="C7" s="6">
        <v>10</v>
      </c>
      <c r="D7" s="6">
        <v>4.5</v>
      </c>
      <c r="E7" s="6">
        <v>0.2</v>
      </c>
      <c r="F7" s="6">
        <v>0.3</v>
      </c>
      <c r="G7" s="6">
        <v>0</v>
      </c>
      <c r="H7" s="6">
        <v>0</v>
      </c>
      <c r="I7" s="26">
        <v>5</v>
      </c>
      <c r="J7" s="8" t="s">
        <v>140</v>
      </c>
    </row>
    <row r="8" spans="1:10" ht="15.75" customHeight="1" x14ac:dyDescent="0.25">
      <c r="A8" s="8" t="s">
        <v>141</v>
      </c>
      <c r="B8" s="6">
        <v>5</v>
      </c>
      <c r="C8" s="6">
        <v>20</v>
      </c>
      <c r="D8" s="6">
        <v>6.5</v>
      </c>
      <c r="E8" s="6">
        <v>0.3</v>
      </c>
      <c r="F8" s="6">
        <v>0.5</v>
      </c>
      <c r="G8" s="6">
        <v>0.3</v>
      </c>
      <c r="H8" s="6">
        <v>0</v>
      </c>
      <c r="I8" s="26">
        <v>12.4</v>
      </c>
      <c r="J8" s="8" t="s">
        <v>142</v>
      </c>
    </row>
    <row r="9" spans="1:10" ht="15.75" customHeight="1" x14ac:dyDescent="0.25">
      <c r="B9" s="6">
        <v>6</v>
      </c>
      <c r="C9" s="6">
        <v>28</v>
      </c>
      <c r="D9" s="6">
        <v>8.5</v>
      </c>
      <c r="E9" s="6">
        <v>0.4</v>
      </c>
      <c r="F9" s="6">
        <v>0.5</v>
      </c>
      <c r="G9" s="6">
        <v>0.6</v>
      </c>
      <c r="H9" s="6">
        <v>1.2</v>
      </c>
      <c r="I9" s="26">
        <v>16.8</v>
      </c>
      <c r="J9" s="8" t="s">
        <v>143</v>
      </c>
    </row>
    <row r="10" spans="1:10" ht="15.75" customHeight="1" x14ac:dyDescent="0.25">
      <c r="B10" s="6">
        <v>7</v>
      </c>
      <c r="C10" s="6">
        <v>34</v>
      </c>
      <c r="D10" s="6">
        <v>10</v>
      </c>
      <c r="E10" s="6">
        <v>0.5</v>
      </c>
      <c r="F10" s="6">
        <v>0.5</v>
      </c>
      <c r="G10" s="6">
        <v>0.9</v>
      </c>
      <c r="H10" s="6">
        <v>1.5</v>
      </c>
      <c r="I10" s="26">
        <v>20.6</v>
      </c>
      <c r="J10" s="8" t="s">
        <v>144</v>
      </c>
    </row>
    <row r="11" spans="1:10" ht="15.75" customHeight="1" x14ac:dyDescent="0.25">
      <c r="B11" s="6">
        <v>8</v>
      </c>
      <c r="C11" s="6">
        <v>38</v>
      </c>
      <c r="D11" s="6">
        <v>11.5</v>
      </c>
      <c r="E11" s="6">
        <v>0.6</v>
      </c>
      <c r="F11" s="6">
        <v>0.6</v>
      </c>
      <c r="G11" s="6">
        <v>1.2</v>
      </c>
      <c r="H11" s="6">
        <v>1.65</v>
      </c>
      <c r="I11" s="26">
        <v>22.45</v>
      </c>
      <c r="J11" s="8" t="s">
        <v>145</v>
      </c>
    </row>
    <row r="12" spans="1:10" ht="15.75" customHeight="1" x14ac:dyDescent="0.25">
      <c r="B12" s="6">
        <v>9</v>
      </c>
      <c r="C12" s="6">
        <v>40</v>
      </c>
      <c r="D12" s="6">
        <v>12</v>
      </c>
      <c r="E12" s="6">
        <v>0.7</v>
      </c>
      <c r="F12" s="6">
        <v>0.6</v>
      </c>
      <c r="G12" s="6">
        <v>1.4</v>
      </c>
      <c r="H12" s="6">
        <v>1.7</v>
      </c>
      <c r="I12" s="26">
        <v>23.6</v>
      </c>
      <c r="J12" s="8" t="s">
        <v>146</v>
      </c>
    </row>
    <row r="13" spans="1:10" ht="15.75" customHeight="1" x14ac:dyDescent="0.25">
      <c r="B13" s="6">
        <v>10</v>
      </c>
      <c r="C13" s="6">
        <v>38</v>
      </c>
      <c r="D13" s="6">
        <v>12</v>
      </c>
      <c r="E13" s="6">
        <v>1.2</v>
      </c>
      <c r="F13" s="6">
        <v>0.6</v>
      </c>
      <c r="G13" s="6">
        <v>1.4</v>
      </c>
      <c r="H13" s="6">
        <v>1.55</v>
      </c>
      <c r="I13" s="26">
        <v>21.25</v>
      </c>
      <c r="J13" s="8" t="s">
        <v>147</v>
      </c>
    </row>
    <row r="14" spans="1:10" ht="15.75" customHeight="1" x14ac:dyDescent="0.25">
      <c r="B14" s="6">
        <v>11</v>
      </c>
      <c r="C14" s="6">
        <v>35</v>
      </c>
      <c r="D14" s="6">
        <v>11.5</v>
      </c>
      <c r="E14" s="6">
        <v>0.8</v>
      </c>
      <c r="F14" s="6">
        <v>0.5</v>
      </c>
      <c r="G14" s="6">
        <v>1.2</v>
      </c>
      <c r="H14" s="6">
        <v>3.4</v>
      </c>
      <c r="I14" s="26">
        <v>17.600000000000001</v>
      </c>
      <c r="J14" s="8" t="s">
        <v>148</v>
      </c>
    </row>
    <row r="15" spans="1:10" ht="15.75" customHeight="1" x14ac:dyDescent="0.25">
      <c r="B15" s="6">
        <v>12</v>
      </c>
      <c r="C15" s="6">
        <v>33</v>
      </c>
      <c r="D15" s="6">
        <v>11</v>
      </c>
      <c r="E15" s="6">
        <v>0.8</v>
      </c>
      <c r="F15" s="6">
        <v>0.4</v>
      </c>
      <c r="G15" s="6">
        <v>1.1000000000000001</v>
      </c>
      <c r="H15" s="6">
        <v>2.25</v>
      </c>
      <c r="I15" s="26">
        <v>17.45</v>
      </c>
      <c r="J15" s="8" t="s">
        <v>149</v>
      </c>
    </row>
    <row r="16" spans="1:10" ht="15.75" customHeight="1" x14ac:dyDescent="0.25">
      <c r="B16" s="6">
        <v>13</v>
      </c>
      <c r="C16" s="6">
        <v>30</v>
      </c>
      <c r="D16" s="6">
        <v>10.5</v>
      </c>
      <c r="E16" s="6">
        <v>0.9</v>
      </c>
      <c r="F16" s="6">
        <v>0.3</v>
      </c>
      <c r="G16" s="6">
        <v>0.9</v>
      </c>
      <c r="H16" s="6">
        <v>2</v>
      </c>
      <c r="I16" s="26">
        <v>15.4</v>
      </c>
      <c r="J16" s="8" t="s">
        <v>150</v>
      </c>
    </row>
    <row r="17" spans="2:10" ht="15.75" customHeight="1" x14ac:dyDescent="0.25">
      <c r="B17" s="6">
        <v>14</v>
      </c>
      <c r="C17" s="6">
        <v>27</v>
      </c>
      <c r="D17" s="6">
        <v>10</v>
      </c>
      <c r="E17" s="6">
        <v>0.8</v>
      </c>
      <c r="F17" s="6">
        <v>0.2</v>
      </c>
      <c r="G17" s="6">
        <v>0.8</v>
      </c>
      <c r="H17" s="6">
        <v>1.5</v>
      </c>
      <c r="I17" s="26">
        <v>13.7</v>
      </c>
      <c r="J17" s="8" t="s">
        <v>151</v>
      </c>
    </row>
    <row r="18" spans="2:10" ht="15.75" customHeight="1" x14ac:dyDescent="0.25">
      <c r="B18" s="6">
        <v>15</v>
      </c>
      <c r="C18" s="6">
        <v>24</v>
      </c>
      <c r="D18" s="6">
        <v>9.5</v>
      </c>
      <c r="E18" s="6">
        <v>0.6</v>
      </c>
      <c r="F18" s="6">
        <v>0.2</v>
      </c>
      <c r="G18" s="6">
        <v>0.7</v>
      </c>
      <c r="H18" s="6">
        <v>1.25</v>
      </c>
      <c r="I18" s="26">
        <v>11.75</v>
      </c>
      <c r="J18" s="8" t="s">
        <v>152</v>
      </c>
    </row>
    <row r="19" spans="2:10" x14ac:dyDescent="0.2">
      <c r="C19" s="19">
        <v>360</v>
      </c>
      <c r="I19" s="19">
        <f>SUM(I4:I18)</f>
        <v>196.49999999999997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FF00"/>
    <outlinePr summaryBelow="0" summaryRight="0"/>
  </sheetPr>
  <dimension ref="B2:S79"/>
  <sheetViews>
    <sheetView workbookViewId="0">
      <selection activeCell="K14" sqref="K14"/>
    </sheetView>
  </sheetViews>
  <sheetFormatPr defaultColWidth="12.5703125" defaultRowHeight="15.75" customHeight="1" x14ac:dyDescent="0.2"/>
  <cols>
    <col min="2" max="2" width="17.5703125" customWidth="1"/>
    <col min="3" max="3" width="20.140625" customWidth="1"/>
    <col min="4" max="4" width="22.7109375" customWidth="1"/>
    <col min="5" max="5" width="11.85546875" customWidth="1"/>
    <col min="6" max="7" width="10.5703125" customWidth="1"/>
    <col min="8" max="8" width="12.5703125" customWidth="1"/>
    <col min="9" max="9" width="9.42578125" customWidth="1"/>
    <col min="10" max="10" width="20.140625" customWidth="1"/>
    <col min="11" max="11" width="12.42578125" customWidth="1"/>
    <col min="12" max="12" width="19.85546875" customWidth="1"/>
    <col min="13" max="13" width="30.42578125" customWidth="1"/>
    <col min="14" max="14" width="14.85546875" customWidth="1"/>
  </cols>
  <sheetData>
    <row r="2" spans="2:19" ht="15.75" customHeight="1" x14ac:dyDescent="0.25">
      <c r="B2" s="11" t="s">
        <v>60</v>
      </c>
      <c r="C2" s="11" t="s">
        <v>153</v>
      </c>
      <c r="D2" s="27" t="s">
        <v>154</v>
      </c>
      <c r="E2" s="27" t="s">
        <v>155</v>
      </c>
      <c r="F2" s="27" t="s">
        <v>156</v>
      </c>
      <c r="G2" s="27" t="s">
        <v>157</v>
      </c>
      <c r="H2" s="27" t="s">
        <v>158</v>
      </c>
      <c r="I2" s="27" t="s">
        <v>159</v>
      </c>
      <c r="J2" s="28" t="s">
        <v>160</v>
      </c>
      <c r="K2" s="29" t="s">
        <v>161</v>
      </c>
      <c r="N2" s="30" t="s">
        <v>5</v>
      </c>
      <c r="O2" s="30" t="s">
        <v>162</v>
      </c>
      <c r="P2" s="30" t="s">
        <v>163</v>
      </c>
      <c r="Q2" s="30" t="s">
        <v>164</v>
      </c>
      <c r="R2" s="30" t="s">
        <v>165</v>
      </c>
      <c r="S2" s="30" t="s">
        <v>57</v>
      </c>
    </row>
    <row r="3" spans="2:19" ht="15.75" customHeight="1" x14ac:dyDescent="0.25">
      <c r="B3" s="31">
        <v>1</v>
      </c>
      <c r="C3" s="6">
        <f>CFADS!I4</f>
        <v>-0.6</v>
      </c>
      <c r="D3" s="32">
        <f>Sculpted_Waterfall!E2</f>
        <v>2.5920000000000001</v>
      </c>
      <c r="E3" s="32">
        <f>Sculpted_Waterfall!S2</f>
        <v>0</v>
      </c>
      <c r="F3" s="32">
        <f>Sculpted_Waterfall!F2</f>
        <v>1.53</v>
      </c>
      <c r="G3" s="32">
        <f>Sculpted_Waterfall!T2</f>
        <v>0</v>
      </c>
      <c r="H3" s="32">
        <f>Sculpted_Waterfall!G2</f>
        <v>1.1879999999999999</v>
      </c>
      <c r="I3" s="32">
        <f>Sculpted_Waterfall!U2</f>
        <v>0</v>
      </c>
      <c r="J3" s="33">
        <f t="shared" ref="J3:J17" si="0">SUM(D3:I3)</f>
        <v>5.31</v>
      </c>
      <c r="K3" s="34">
        <v>-0.1129943502824859</v>
      </c>
      <c r="L3" s="8" t="s">
        <v>166</v>
      </c>
      <c r="N3" s="35">
        <v>1.45</v>
      </c>
      <c r="O3" s="36">
        <f t="shared" ref="O3:O13" si="1">C3-(D3+F3+H3)</f>
        <v>-5.9099999999999993</v>
      </c>
      <c r="P3" s="19">
        <v>0</v>
      </c>
      <c r="Q3" s="8">
        <f t="shared" ref="Q3:Q13" si="2">P3*0.7</f>
        <v>0</v>
      </c>
      <c r="R3" s="8">
        <f t="shared" ref="R3:R13" si="3">P3*0.23</f>
        <v>0</v>
      </c>
      <c r="S3" s="8">
        <f t="shared" ref="S3:S13" si="4">P3*0.07</f>
        <v>0</v>
      </c>
    </row>
    <row r="4" spans="2:19" ht="15.75" customHeight="1" x14ac:dyDescent="0.25">
      <c r="B4" s="31">
        <v>2</v>
      </c>
      <c r="C4" s="6">
        <f>CFADS!I5</f>
        <v>-1.2</v>
      </c>
      <c r="D4" s="32">
        <f>Sculpted_Waterfall!E3</f>
        <v>2.5920000000000001</v>
      </c>
      <c r="E4" s="32">
        <f>Sculpted_Waterfall!S3</f>
        <v>0</v>
      </c>
      <c r="F4" s="32">
        <f>Sculpted_Waterfall!F3</f>
        <v>1.53</v>
      </c>
      <c r="G4" s="32">
        <f>Sculpted_Waterfall!T3</f>
        <v>0</v>
      </c>
      <c r="H4" s="32">
        <f>Sculpted_Waterfall!G3</f>
        <v>1.1879999999999999</v>
      </c>
      <c r="I4" s="32">
        <f>Sculpted_Waterfall!U3</f>
        <v>0</v>
      </c>
      <c r="J4" s="33">
        <f t="shared" si="0"/>
        <v>5.31</v>
      </c>
      <c r="K4" s="34">
        <v>-0.22598870056497181</v>
      </c>
      <c r="L4" s="8" t="s">
        <v>167</v>
      </c>
      <c r="N4" s="35">
        <v>1.45</v>
      </c>
      <c r="O4" s="36">
        <f t="shared" si="1"/>
        <v>-6.51</v>
      </c>
      <c r="P4" s="36">
        <f>C4/'Params (waterfall only)'!$B$10-(D4+F4+H4)</f>
        <v>-6.1375862068965512</v>
      </c>
      <c r="Q4" s="8">
        <f t="shared" si="2"/>
        <v>-4.2963103448275852</v>
      </c>
      <c r="R4" s="8">
        <f t="shared" si="3"/>
        <v>-1.4116448275862068</v>
      </c>
      <c r="S4" s="8">
        <f t="shared" si="4"/>
        <v>-0.42963103448275863</v>
      </c>
    </row>
    <row r="5" spans="2:19" ht="15.75" customHeight="1" x14ac:dyDescent="0.25">
      <c r="B5" s="31">
        <v>3</v>
      </c>
      <c r="C5" s="6">
        <f>CFADS!I6</f>
        <v>0.3</v>
      </c>
      <c r="D5" s="32">
        <f>Sculpted_Waterfall!E4</f>
        <v>2.5920000000000001</v>
      </c>
      <c r="E5" s="32">
        <f>Sculpted_Waterfall!S4</f>
        <v>0</v>
      </c>
      <c r="F5" s="32">
        <f>Sculpted_Waterfall!F4</f>
        <v>1.53</v>
      </c>
      <c r="G5" s="32">
        <f>Sculpted_Waterfall!T4</f>
        <v>0</v>
      </c>
      <c r="H5" s="32">
        <f>Sculpted_Waterfall!G4</f>
        <v>1.1879999999999999</v>
      </c>
      <c r="I5" s="32">
        <f>Sculpted_Waterfall!U4</f>
        <v>0</v>
      </c>
      <c r="J5" s="33">
        <f t="shared" si="0"/>
        <v>5.31</v>
      </c>
      <c r="K5" s="34">
        <v>5.6497175141242958E-2</v>
      </c>
      <c r="L5" s="8" t="s">
        <v>168</v>
      </c>
      <c r="N5" s="35">
        <v>1.45</v>
      </c>
      <c r="O5" s="36">
        <f t="shared" si="1"/>
        <v>-5.01</v>
      </c>
      <c r="P5" s="36">
        <f>C5/'Params (waterfall only)'!$B$10-(D5+F5+H5)</f>
        <v>-5.1031034482758617</v>
      </c>
      <c r="Q5" s="8">
        <f t="shared" si="2"/>
        <v>-3.572172413793103</v>
      </c>
      <c r="R5" s="8">
        <f t="shared" si="3"/>
        <v>-1.1737137931034483</v>
      </c>
      <c r="S5" s="8">
        <f t="shared" si="4"/>
        <v>-0.35721724137931038</v>
      </c>
    </row>
    <row r="6" spans="2:19" ht="15.75" customHeight="1" x14ac:dyDescent="0.25">
      <c r="B6" s="31">
        <v>4</v>
      </c>
      <c r="C6" s="6">
        <f>CFADS!I7</f>
        <v>5</v>
      </c>
      <c r="D6" s="32">
        <f>Sculpted_Waterfall!E5</f>
        <v>2.5920000000000001</v>
      </c>
      <c r="E6" s="32">
        <f>Sculpted_Waterfall!S5</f>
        <v>0</v>
      </c>
      <c r="F6" s="32">
        <f>Sculpted_Waterfall!F5</f>
        <v>1.53</v>
      </c>
      <c r="G6" s="32">
        <f>Sculpted_Waterfall!T5</f>
        <v>0</v>
      </c>
      <c r="H6" s="32">
        <f>Sculpted_Waterfall!G5</f>
        <v>1.1879999999999999</v>
      </c>
      <c r="I6" s="32">
        <f>Sculpted_Waterfall!U5</f>
        <v>0</v>
      </c>
      <c r="J6" s="33">
        <f t="shared" si="0"/>
        <v>5.31</v>
      </c>
      <c r="K6" s="34">
        <v>0.94161958568738235</v>
      </c>
      <c r="L6" s="8" t="s">
        <v>169</v>
      </c>
      <c r="M6" s="8" t="s">
        <v>170</v>
      </c>
      <c r="N6" s="35">
        <v>1.45</v>
      </c>
      <c r="O6" s="36">
        <f t="shared" si="1"/>
        <v>-0.30999999999999961</v>
      </c>
      <c r="P6" s="36">
        <f>C6/'Params (waterfall only)'!$B$10-(D6+F6+H6)</f>
        <v>-1.8617241379310339</v>
      </c>
      <c r="Q6" s="8">
        <f t="shared" si="2"/>
        <v>-1.3032068965517236</v>
      </c>
      <c r="R6" s="8">
        <f t="shared" si="3"/>
        <v>-0.42819655172413779</v>
      </c>
      <c r="S6" s="8">
        <f t="shared" si="4"/>
        <v>-0.13032068965517238</v>
      </c>
    </row>
    <row r="7" spans="2:19" ht="15.75" customHeight="1" x14ac:dyDescent="0.25">
      <c r="B7" s="6">
        <v>5</v>
      </c>
      <c r="C7" s="6">
        <f>CFADS!I8</f>
        <v>12.4</v>
      </c>
      <c r="D7" s="32">
        <f>Sculpted_Waterfall!E6</f>
        <v>2.5920000000000001</v>
      </c>
      <c r="E7" s="32">
        <f>Sculpted_Waterfall!S6</f>
        <v>2.2692068965517249</v>
      </c>
      <c r="F7" s="32">
        <f>Sculpted_Waterfall!F6</f>
        <v>1.53</v>
      </c>
      <c r="G7" s="32">
        <f>Sculpted_Waterfall!T6</f>
        <v>0.7455965517241383</v>
      </c>
      <c r="H7" s="32">
        <f>Sculpted_Waterfall!G6</f>
        <v>1.1879999999999999</v>
      </c>
      <c r="I7" s="32">
        <f>Sculpted_Waterfall!U6</f>
        <v>0.22692068965517254</v>
      </c>
      <c r="J7" s="33">
        <f t="shared" si="0"/>
        <v>8.5517241379310356</v>
      </c>
      <c r="K7" s="34">
        <v>1.449999999988306</v>
      </c>
      <c r="L7" s="8" t="s">
        <v>171</v>
      </c>
      <c r="N7" s="19">
        <v>1.45</v>
      </c>
      <c r="O7" s="36">
        <f t="shared" si="1"/>
        <v>7.0900000000000007</v>
      </c>
      <c r="P7" s="36">
        <f>C7/'Params (waterfall only)'!$B$10-(D7+F7+H7)</f>
        <v>3.241724137931036</v>
      </c>
      <c r="Q7" s="36">
        <f t="shared" si="2"/>
        <v>2.2692068965517249</v>
      </c>
      <c r="R7" s="36">
        <f t="shared" si="3"/>
        <v>0.7455965517241383</v>
      </c>
      <c r="S7" s="36">
        <f t="shared" si="4"/>
        <v>0.22692068965517254</v>
      </c>
    </row>
    <row r="8" spans="2:19" ht="15.75" customHeight="1" x14ac:dyDescent="0.25">
      <c r="B8" s="6">
        <v>6</v>
      </c>
      <c r="C8" s="6">
        <f>CFADS!I9</f>
        <v>16.8</v>
      </c>
      <c r="D8" s="32">
        <f>Sculpted_Waterfall!E7</f>
        <v>2.4558475862068967</v>
      </c>
      <c r="E8" s="32">
        <f>Sculpted_Waterfall!S7</f>
        <v>4.5504874051724133</v>
      </c>
      <c r="F8" s="32">
        <f>Sculpted_Waterfall!F7</f>
        <v>1.4666242931034483</v>
      </c>
      <c r="G8" s="32">
        <f>Sculpted_Waterfall!T7</f>
        <v>1.495160147413793</v>
      </c>
      <c r="H8" s="32">
        <f>Sculpted_Waterfall!G7</f>
        <v>1.163038724137931</v>
      </c>
      <c r="I8" s="32">
        <f>Sculpted_Waterfall!U7</f>
        <v>0.45504874051724137</v>
      </c>
      <c r="J8" s="33">
        <f t="shared" si="0"/>
        <v>11.586206896551724</v>
      </c>
      <c r="K8" s="34">
        <v>1.45</v>
      </c>
      <c r="L8" s="8" t="s">
        <v>172</v>
      </c>
      <c r="M8" s="8" t="s">
        <v>173</v>
      </c>
      <c r="N8" s="19">
        <v>1.45</v>
      </c>
      <c r="O8" s="36">
        <f t="shared" si="1"/>
        <v>11.714489396551723</v>
      </c>
      <c r="P8" s="36">
        <f>C8/'Params (waterfall only)'!$B$10-(D8+F8+H8)</f>
        <v>6.5006962931034478</v>
      </c>
      <c r="Q8" s="36">
        <f t="shared" si="2"/>
        <v>4.5504874051724133</v>
      </c>
      <c r="R8" s="36">
        <f t="shared" si="3"/>
        <v>1.495160147413793</v>
      </c>
      <c r="S8" s="36">
        <f t="shared" si="4"/>
        <v>0.45504874051724137</v>
      </c>
    </row>
    <row r="9" spans="2:19" ht="15.75" customHeight="1" x14ac:dyDescent="0.25">
      <c r="B9" s="6">
        <v>7</v>
      </c>
      <c r="C9" s="6">
        <f>CFADS!I10</f>
        <v>20.6</v>
      </c>
      <c r="D9" s="32">
        <f>Sculpted_Waterfall!E8</f>
        <v>2.1828183418965521</v>
      </c>
      <c r="E9" s="32">
        <f>Sculpted_Waterfall!S8</f>
        <v>6.7000914166012935</v>
      </c>
      <c r="F9" s="32">
        <f>Sculpted_Waterfall!F8</f>
        <v>1.3395356805732759</v>
      </c>
      <c r="G9" s="32">
        <f>Sculpted_Waterfall!T8</f>
        <v>2.2014586083118539</v>
      </c>
      <c r="H9" s="32">
        <f>Sculpted_Waterfall!G8</f>
        <v>1.1129833626810344</v>
      </c>
      <c r="I9" s="32">
        <f>Sculpted_Waterfall!U8</f>
        <v>0.67000914166012948</v>
      </c>
      <c r="J9" s="33">
        <f t="shared" si="0"/>
        <v>14.206896551724141</v>
      </c>
      <c r="K9" s="34">
        <v>1.450000000032805</v>
      </c>
      <c r="L9" s="8" t="s">
        <v>174</v>
      </c>
      <c r="N9" s="19">
        <v>1.45</v>
      </c>
      <c r="O9" s="36">
        <f t="shared" si="1"/>
        <v>15.964662614849139</v>
      </c>
      <c r="P9" s="36">
        <f>C9/'Params (waterfall only)'!$B$10-(D9+F9+H9)</f>
        <v>9.5715591665732767</v>
      </c>
      <c r="Q9" s="36">
        <f t="shared" si="2"/>
        <v>6.7000914166012935</v>
      </c>
      <c r="R9" s="36">
        <f t="shared" si="3"/>
        <v>2.2014586083118539</v>
      </c>
      <c r="S9" s="36">
        <f t="shared" si="4"/>
        <v>0.67000914166012948</v>
      </c>
    </row>
    <row r="10" spans="2:19" ht="15.75" customHeight="1" x14ac:dyDescent="0.25">
      <c r="B10" s="6">
        <v>8</v>
      </c>
      <c r="C10" s="6">
        <f>CFADS!I11</f>
        <v>22.45</v>
      </c>
      <c r="D10" s="32">
        <f>Sculpted_Waterfall!E9</f>
        <v>1.7808128569004742</v>
      </c>
      <c r="E10" s="32">
        <f>Sculpted_Waterfall!S9</f>
        <v>8.057176195476794</v>
      </c>
      <c r="F10" s="32">
        <f>Sculpted_Waterfall!F9</f>
        <v>1.1524116988667683</v>
      </c>
      <c r="G10" s="32">
        <f>Sculpted_Waterfall!T9</f>
        <v>2.6473578927995183</v>
      </c>
      <c r="H10" s="32">
        <f>Sculpted_Waterfall!G9</f>
        <v>1.0392823570984202</v>
      </c>
      <c r="I10" s="32">
        <f>Sculpted_Waterfall!U9</f>
        <v>0.80571761954767951</v>
      </c>
      <c r="J10" s="33">
        <f t="shared" si="0"/>
        <v>15.482758620689655</v>
      </c>
      <c r="K10" s="34">
        <v>1.449999999578838</v>
      </c>
      <c r="N10" s="19">
        <v>1.45</v>
      </c>
      <c r="O10" s="36">
        <f t="shared" si="1"/>
        <v>18.477493087134338</v>
      </c>
      <c r="P10" s="36">
        <f>C10/'Params (waterfall only)'!$B$10-(D10+F10+H10)</f>
        <v>11.510251707823992</v>
      </c>
      <c r="Q10" s="36">
        <f t="shared" si="2"/>
        <v>8.057176195476794</v>
      </c>
      <c r="R10" s="36">
        <f t="shared" si="3"/>
        <v>2.6473578927995183</v>
      </c>
      <c r="S10" s="36">
        <f t="shared" si="4"/>
        <v>0.80571761954767951</v>
      </c>
    </row>
    <row r="11" spans="2:19" ht="15.75" customHeight="1" x14ac:dyDescent="0.25">
      <c r="B11" s="6">
        <v>9</v>
      </c>
      <c r="C11" s="6">
        <f>CFADS!I12</f>
        <v>23.6</v>
      </c>
      <c r="D11" s="32">
        <f>Sculpted_Waterfall!E10</f>
        <v>1.2973822851718666</v>
      </c>
      <c r="E11" s="32">
        <f>Sculpted_Waterfall!S10</f>
        <v>9.1703080608066685</v>
      </c>
      <c r="F11" s="32">
        <f>Sculpted_Waterfall!F10</f>
        <v>0.92738627797880913</v>
      </c>
      <c r="G11" s="32">
        <f>Sculpted_Waterfall!T10</f>
        <v>3.0131012199793341</v>
      </c>
      <c r="H11" s="32">
        <f>Sculpted_Waterfall!G10</f>
        <v>0.95065341894817534</v>
      </c>
      <c r="I11" s="32">
        <f>Sculpted_Waterfall!U10</f>
        <v>0.91703080608066689</v>
      </c>
      <c r="J11" s="33">
        <f t="shared" si="0"/>
        <v>16.27586206896552</v>
      </c>
      <c r="K11" s="34">
        <v>1.4500000001719371</v>
      </c>
      <c r="L11" s="8" t="s">
        <v>175</v>
      </c>
      <c r="N11" s="19">
        <v>1.45</v>
      </c>
      <c r="O11" s="36">
        <f t="shared" si="1"/>
        <v>20.424578017901151</v>
      </c>
      <c r="P11" s="36">
        <f>C11/'Params (waterfall only)'!$B$10-(D11+F11+H11)</f>
        <v>13.100440086866669</v>
      </c>
      <c r="Q11" s="36">
        <f t="shared" si="2"/>
        <v>9.1703080608066685</v>
      </c>
      <c r="R11" s="36">
        <f t="shared" si="3"/>
        <v>3.0131012199793341</v>
      </c>
      <c r="S11" s="36">
        <f t="shared" si="4"/>
        <v>0.91703080608066689</v>
      </c>
    </row>
    <row r="12" spans="2:19" ht="15.75" customHeight="1" x14ac:dyDescent="0.25">
      <c r="B12" s="6">
        <v>10</v>
      </c>
      <c r="C12" s="6">
        <f>CFADS!I13</f>
        <v>21.25</v>
      </c>
      <c r="D12" s="32">
        <f>Sculpted_Waterfall!E11</f>
        <v>0.7471638015234664</v>
      </c>
      <c r="E12" s="32">
        <f>Sculpted_Waterfall!S11</f>
        <v>8.6708691353968383</v>
      </c>
      <c r="F12" s="32">
        <f>Sculpted_Waterfall!F11</f>
        <v>0.6712726742805657</v>
      </c>
      <c r="G12" s="32">
        <f>Sculpted_Waterfall!T11</f>
        <v>2.8489998587732468</v>
      </c>
      <c r="H12" s="32">
        <f>Sculpted_Waterfall!G11</f>
        <v>0.84978003027930205</v>
      </c>
      <c r="I12" s="32">
        <f>Sculpted_Waterfall!U11</f>
        <v>0.86708691353968392</v>
      </c>
      <c r="J12" s="33">
        <f t="shared" si="0"/>
        <v>14.655172413793103</v>
      </c>
      <c r="K12" s="34">
        <v>1.45</v>
      </c>
      <c r="N12" s="19">
        <v>1.45</v>
      </c>
      <c r="O12" s="36">
        <f t="shared" si="1"/>
        <v>18.981783493916666</v>
      </c>
      <c r="P12" s="36">
        <f>C12/'Params (waterfall only)'!$B$10-(D12+F12+H12)</f>
        <v>12.386955907709769</v>
      </c>
      <c r="Q12" s="36">
        <f t="shared" si="2"/>
        <v>8.6708691353968383</v>
      </c>
      <c r="R12" s="36">
        <f t="shared" si="3"/>
        <v>2.8489998587732468</v>
      </c>
      <c r="S12" s="36">
        <f t="shared" si="4"/>
        <v>0.86708691353968392</v>
      </c>
    </row>
    <row r="13" spans="2:19" ht="15.75" customHeight="1" x14ac:dyDescent="0.25">
      <c r="B13" s="6">
        <v>11</v>
      </c>
      <c r="C13" s="6">
        <f>CFADS!I14</f>
        <v>17.600000000000001</v>
      </c>
      <c r="D13" s="32">
        <f>Sculpted_Waterfall!E12</f>
        <v>0.22691165339965602</v>
      </c>
      <c r="E13" s="32">
        <f>Sculpted_Waterfall!S12</f>
        <v>3.7818608899942667</v>
      </c>
      <c r="F13" s="32">
        <f>Sculpted_Waterfall!F12</f>
        <v>0.42910768628483981</v>
      </c>
      <c r="G13" s="32">
        <f>Sculpted_Waterfall!T12</f>
        <v>5.0483257209981147</v>
      </c>
      <c r="H13" s="32">
        <f>Sculpted_Waterfall!G12</f>
        <v>0.75440046978993669</v>
      </c>
      <c r="I13" s="32">
        <f>Sculpted_Waterfall!U12</f>
        <v>1.8973246140159468</v>
      </c>
      <c r="J13" s="33">
        <f t="shared" si="0"/>
        <v>12.13793103448276</v>
      </c>
      <c r="K13" s="34">
        <v>1.45</v>
      </c>
      <c r="L13" s="8" t="s">
        <v>176</v>
      </c>
      <c r="N13" s="19">
        <v>1.45</v>
      </c>
      <c r="O13" s="36">
        <f t="shared" si="1"/>
        <v>16.189580190525568</v>
      </c>
      <c r="P13" s="36">
        <f>C13/'Params (waterfall only)'!$B$10-(D13+F13+H13)</f>
        <v>10.727511225008328</v>
      </c>
      <c r="Q13" s="36">
        <f t="shared" si="2"/>
        <v>7.5092578575058289</v>
      </c>
      <c r="R13" s="36">
        <f t="shared" si="3"/>
        <v>2.4673275817519156</v>
      </c>
      <c r="S13" s="36">
        <f t="shared" si="4"/>
        <v>0.750925785750583</v>
      </c>
    </row>
    <row r="14" spans="2:19" ht="15.75" customHeight="1" x14ac:dyDescent="0.25">
      <c r="B14" s="6">
        <v>12</v>
      </c>
      <c r="C14" s="6">
        <f>CFADS!I15</f>
        <v>17.45</v>
      </c>
      <c r="D14" s="32">
        <f>Sculpted_Waterfall!E13</f>
        <v>0</v>
      </c>
      <c r="E14" s="32">
        <f>Sculpted_Waterfall!S13</f>
        <v>0</v>
      </c>
      <c r="F14" s="32">
        <f>Sculpted_Waterfall!F13</f>
        <v>0</v>
      </c>
      <c r="G14" s="32">
        <f>Sculpted_Waterfall!T13</f>
        <v>0</v>
      </c>
      <c r="H14" s="32">
        <f>Sculpted_Waterfall!G13</f>
        <v>0.54569476224818259</v>
      </c>
      <c r="I14" s="32">
        <f>Sculpted_Waterfall!U13</f>
        <v>4.9608614749834778</v>
      </c>
      <c r="J14" s="33">
        <f t="shared" si="0"/>
        <v>5.5065562372316608</v>
      </c>
      <c r="K14" s="34">
        <f>C14/J14</f>
        <v>3.1689497479413244</v>
      </c>
      <c r="N14" s="19">
        <v>1.45</v>
      </c>
      <c r="O14" s="19"/>
      <c r="P14" s="19"/>
      <c r="Q14" s="36"/>
      <c r="R14" s="36"/>
      <c r="S14" s="36"/>
    </row>
    <row r="15" spans="2:19" ht="15.75" customHeight="1" x14ac:dyDescent="0.25">
      <c r="B15" s="6">
        <v>13</v>
      </c>
      <c r="C15" s="6">
        <f>CFADS!I16</f>
        <v>15.4</v>
      </c>
      <c r="D15" s="32">
        <f>Sculpted_Waterfall!E14</f>
        <v>0</v>
      </c>
      <c r="E15" s="32">
        <f>Sculpted_Waterfall!S14</f>
        <v>0</v>
      </c>
      <c r="F15" s="32">
        <f>Sculpted_Waterfall!F14</f>
        <v>0</v>
      </c>
      <c r="G15" s="32">
        <f>Sculpted_Waterfall!T14</f>
        <v>0</v>
      </c>
      <c r="H15" s="32">
        <f>Sculpted_Waterfall!G14</f>
        <v>0</v>
      </c>
      <c r="I15" s="32">
        <f>Sculpted_Waterfall!U14</f>
        <v>0</v>
      </c>
      <c r="J15" s="33">
        <f t="shared" si="0"/>
        <v>0</v>
      </c>
      <c r="K15" s="34" t="e">
        <f>C15/J15</f>
        <v>#DIV/0!</v>
      </c>
      <c r="L15" s="8" t="s">
        <v>177</v>
      </c>
      <c r="M15" s="8" t="s">
        <v>178</v>
      </c>
      <c r="N15" s="19">
        <v>1.45</v>
      </c>
      <c r="O15" s="19"/>
      <c r="P15" s="19"/>
      <c r="Q15" s="36"/>
      <c r="R15" s="36"/>
      <c r="S15" s="36"/>
    </row>
    <row r="16" spans="2:19" ht="15.75" customHeight="1" x14ac:dyDescent="0.25">
      <c r="B16" s="37">
        <v>14</v>
      </c>
      <c r="C16" s="6">
        <f>CFADS!I17</f>
        <v>13.7</v>
      </c>
      <c r="D16" s="32">
        <f>Sculpted_Waterfall!E15</f>
        <v>0</v>
      </c>
      <c r="E16" s="32">
        <f>Sculpted_Waterfall!S15</f>
        <v>0</v>
      </c>
      <c r="F16" s="32">
        <f>Sculpted_Waterfall!F15</f>
        <v>0</v>
      </c>
      <c r="G16" s="32">
        <f>Sculpted_Waterfall!T15</f>
        <v>0</v>
      </c>
      <c r="H16" s="32">
        <f>Sculpted_Waterfall!G15</f>
        <v>0</v>
      </c>
      <c r="I16" s="32">
        <f>Sculpted_Waterfall!U15</f>
        <v>0</v>
      </c>
      <c r="J16" s="33">
        <f t="shared" si="0"/>
        <v>0</v>
      </c>
      <c r="K16" s="34" t="e">
        <f>C16/J16</f>
        <v>#DIV/0!</v>
      </c>
      <c r="L16" s="8" t="s">
        <v>179</v>
      </c>
      <c r="N16" s="19">
        <v>1.45</v>
      </c>
      <c r="O16" s="19"/>
      <c r="P16" s="19"/>
      <c r="Q16" s="19"/>
      <c r="R16" s="19"/>
      <c r="S16" s="19"/>
    </row>
    <row r="17" spans="2:19" ht="15.75" customHeight="1" x14ac:dyDescent="0.25">
      <c r="B17" s="37">
        <v>15</v>
      </c>
      <c r="C17" s="6">
        <f>CFADS!I18</f>
        <v>11.75</v>
      </c>
      <c r="D17" s="32">
        <f>Sculpted_Waterfall!E16</f>
        <v>0</v>
      </c>
      <c r="E17" s="32">
        <f>Sculpted_Waterfall!S16</f>
        <v>0</v>
      </c>
      <c r="F17" s="32">
        <f>Sculpted_Waterfall!F16</f>
        <v>0</v>
      </c>
      <c r="G17" s="32">
        <f>Sculpted_Waterfall!T16</f>
        <v>0</v>
      </c>
      <c r="H17" s="32">
        <f>Sculpted_Waterfall!G16</f>
        <v>0</v>
      </c>
      <c r="I17" s="32">
        <f>Sculpted_Waterfall!U16</f>
        <v>0</v>
      </c>
      <c r="J17" s="33">
        <f t="shared" si="0"/>
        <v>0</v>
      </c>
      <c r="K17" s="34" t="e">
        <f>C17/J17</f>
        <v>#DIV/0!</v>
      </c>
      <c r="L17" s="8" t="s">
        <v>180</v>
      </c>
      <c r="N17" s="19">
        <v>1.45</v>
      </c>
      <c r="O17" s="19"/>
      <c r="P17" s="19"/>
      <c r="Q17" s="19"/>
      <c r="R17" s="19"/>
      <c r="S17" s="19"/>
    </row>
    <row r="18" spans="2:19" x14ac:dyDescent="0.2">
      <c r="C18">
        <f>SUM(C3:C17)</f>
        <v>196.49999999999997</v>
      </c>
      <c r="D18" s="36">
        <f t="shared" ref="D18:J18" si="5">SUM(D3:D17)</f>
        <v>21.650936525098917</v>
      </c>
      <c r="E18" s="38">
        <f t="shared" si="5"/>
        <v>43.2</v>
      </c>
      <c r="F18" s="36">
        <f t="shared" si="5"/>
        <v>13.636338311087709</v>
      </c>
      <c r="G18" s="38">
        <f t="shared" si="5"/>
        <v>18</v>
      </c>
      <c r="H18" s="36">
        <f t="shared" si="5"/>
        <v>12.355833125182981</v>
      </c>
      <c r="I18" s="38">
        <f t="shared" si="5"/>
        <v>10.799999999999999</v>
      </c>
      <c r="J18" s="36">
        <f t="shared" si="5"/>
        <v>119.64310796136961</v>
      </c>
      <c r="K18" s="19" t="e">
        <f>AVERAGE(K3:K17)</f>
        <v>#DIV/0!</v>
      </c>
    </row>
    <row r="23" spans="2:19" ht="15.75" customHeight="1" x14ac:dyDescent="0.25">
      <c r="E23" s="1"/>
      <c r="Q23" s="39" t="s">
        <v>181</v>
      </c>
    </row>
    <row r="24" spans="2:19" ht="15.75" customHeight="1" x14ac:dyDescent="0.25">
      <c r="D24" s="19"/>
      <c r="E24" s="19"/>
      <c r="G24" s="19"/>
      <c r="Q24" s="39"/>
    </row>
    <row r="25" spans="2:19" ht="15.75" customHeight="1" x14ac:dyDescent="0.25">
      <c r="D25" s="19"/>
      <c r="E25" s="19"/>
      <c r="G25" s="19"/>
      <c r="Q25" s="39" t="s">
        <v>182</v>
      </c>
    </row>
    <row r="26" spans="2:19" ht="15.75" customHeight="1" x14ac:dyDescent="0.25">
      <c r="D26" s="19"/>
      <c r="E26" s="19"/>
      <c r="G26" s="19"/>
      <c r="Q26" s="39"/>
    </row>
    <row r="27" spans="2:19" ht="15.75" customHeight="1" x14ac:dyDescent="0.25">
      <c r="D27" s="19"/>
      <c r="E27" s="19"/>
      <c r="Q27" s="39" t="s">
        <v>183</v>
      </c>
    </row>
    <row r="28" spans="2:19" ht="15.75" customHeight="1" x14ac:dyDescent="0.25">
      <c r="B28" s="11" t="s">
        <v>184</v>
      </c>
      <c r="C28" s="11" t="s">
        <v>185</v>
      </c>
      <c r="D28" s="11" t="s">
        <v>34</v>
      </c>
      <c r="E28" s="11" t="s">
        <v>35</v>
      </c>
      <c r="F28" s="11" t="s">
        <v>39</v>
      </c>
      <c r="G28" s="11" t="s">
        <v>186</v>
      </c>
      <c r="H28" s="40" t="s">
        <v>187</v>
      </c>
      <c r="I28" s="40" t="s">
        <v>188</v>
      </c>
      <c r="J28" s="40" t="s">
        <v>189</v>
      </c>
      <c r="Q28" s="39"/>
    </row>
    <row r="29" spans="2:19" ht="15.75" customHeight="1" x14ac:dyDescent="0.25">
      <c r="B29" s="6" t="s">
        <v>55</v>
      </c>
      <c r="C29" s="41">
        <f>Intro!A10*Intro!C8</f>
        <v>43.199999999999996</v>
      </c>
      <c r="D29" s="6" t="s">
        <v>190</v>
      </c>
      <c r="E29" s="6" t="s">
        <v>191</v>
      </c>
      <c r="F29" s="6" t="s">
        <v>192</v>
      </c>
      <c r="G29" s="6" t="s">
        <v>193</v>
      </c>
      <c r="H29" s="42" t="s">
        <v>194</v>
      </c>
      <c r="I29" s="42" t="s">
        <v>195</v>
      </c>
      <c r="J29" s="42" t="s">
        <v>196</v>
      </c>
      <c r="Q29" s="39" t="s">
        <v>197</v>
      </c>
    </row>
    <row r="30" spans="2:19" ht="15.75" customHeight="1" x14ac:dyDescent="0.25">
      <c r="B30" s="6" t="s">
        <v>198</v>
      </c>
      <c r="C30" s="41">
        <f>Intro!A11*Intro!C8</f>
        <v>18</v>
      </c>
      <c r="D30" s="6" t="s">
        <v>199</v>
      </c>
      <c r="E30" s="6" t="s">
        <v>191</v>
      </c>
      <c r="F30" s="6" t="s">
        <v>200</v>
      </c>
      <c r="G30" s="6" t="s">
        <v>193</v>
      </c>
      <c r="H30" s="42" t="s">
        <v>201</v>
      </c>
      <c r="I30" s="42" t="s">
        <v>202</v>
      </c>
      <c r="J30" s="42" t="s">
        <v>203</v>
      </c>
      <c r="Q30" s="39"/>
    </row>
    <row r="31" spans="2:19" ht="15.75" customHeight="1" x14ac:dyDescent="0.25">
      <c r="B31" s="6" t="s">
        <v>204</v>
      </c>
      <c r="C31" s="41">
        <f>Intro!C8*Intro!A12</f>
        <v>10.799999999999999</v>
      </c>
      <c r="D31" s="6" t="s">
        <v>205</v>
      </c>
      <c r="E31" s="6" t="s">
        <v>206</v>
      </c>
      <c r="F31" s="6" t="s">
        <v>207</v>
      </c>
      <c r="G31" s="6"/>
      <c r="H31" s="42" t="s">
        <v>208</v>
      </c>
      <c r="I31" s="42" t="s">
        <v>209</v>
      </c>
      <c r="J31" s="42" t="s">
        <v>210</v>
      </c>
      <c r="Q31" s="39" t="s">
        <v>211</v>
      </c>
    </row>
    <row r="32" spans="2:19" ht="15.75" customHeight="1" x14ac:dyDescent="0.25">
      <c r="D32" s="19"/>
      <c r="E32" s="19"/>
      <c r="Q32" s="39"/>
    </row>
    <row r="33" spans="2:17" ht="15.75" customHeight="1" x14ac:dyDescent="0.25">
      <c r="D33" s="19"/>
      <c r="E33" s="19"/>
      <c r="Q33" s="39" t="s">
        <v>212</v>
      </c>
    </row>
    <row r="34" spans="2:17" ht="15.75" customHeight="1" x14ac:dyDescent="0.25">
      <c r="B34" s="8" t="s">
        <v>213</v>
      </c>
      <c r="D34" s="19"/>
      <c r="E34" s="19"/>
      <c r="Q34" s="39"/>
    </row>
    <row r="35" spans="2:17" ht="18" x14ac:dyDescent="0.25">
      <c r="B35" s="8" t="s">
        <v>214</v>
      </c>
      <c r="D35" s="19"/>
      <c r="E35" s="19"/>
      <c r="Q35" s="39" t="s">
        <v>215</v>
      </c>
    </row>
    <row r="36" spans="2:17" ht="18" x14ac:dyDescent="0.25">
      <c r="B36" s="8" t="s">
        <v>216</v>
      </c>
      <c r="D36" s="19"/>
      <c r="E36" s="19"/>
      <c r="Q36" s="39" t="s">
        <v>217</v>
      </c>
    </row>
    <row r="37" spans="2:17" ht="12.75" x14ac:dyDescent="0.2">
      <c r="D37" s="19"/>
      <c r="E37" s="19"/>
    </row>
    <row r="38" spans="2:17" ht="12.75" x14ac:dyDescent="0.2">
      <c r="B38" s="8" t="s">
        <v>218</v>
      </c>
      <c r="D38" s="19"/>
      <c r="E38" s="19"/>
    </row>
    <row r="39" spans="2:17" ht="12.75" x14ac:dyDescent="0.2">
      <c r="B39" s="8" t="s">
        <v>219</v>
      </c>
    </row>
    <row r="40" spans="2:17" ht="14.25" x14ac:dyDescent="0.2">
      <c r="B40" s="8" t="s">
        <v>220</v>
      </c>
      <c r="D40" s="43"/>
    </row>
    <row r="41" spans="2:17" ht="18" x14ac:dyDescent="0.25">
      <c r="Q41" s="39" t="s">
        <v>221</v>
      </c>
    </row>
    <row r="42" spans="2:17" ht="18" x14ac:dyDescent="0.25">
      <c r="Q42" s="39"/>
    </row>
    <row r="43" spans="2:17" ht="18" x14ac:dyDescent="0.25">
      <c r="Q43" s="39" t="s">
        <v>182</v>
      </c>
    </row>
    <row r="44" spans="2:17" ht="18" x14ac:dyDescent="0.25">
      <c r="Q44" s="39"/>
    </row>
    <row r="45" spans="2:17" ht="18" x14ac:dyDescent="0.25">
      <c r="Q45" s="39" t="s">
        <v>222</v>
      </c>
    </row>
    <row r="46" spans="2:17" ht="18" x14ac:dyDescent="0.25">
      <c r="Q46" s="39"/>
    </row>
    <row r="47" spans="2:17" ht="18" x14ac:dyDescent="0.25">
      <c r="Q47" s="39" t="s">
        <v>223</v>
      </c>
    </row>
    <row r="48" spans="2:17" ht="18" x14ac:dyDescent="0.25">
      <c r="Q48" s="39"/>
    </row>
    <row r="49" spans="2:17" ht="18" x14ac:dyDescent="0.25">
      <c r="B49" s="39" t="s">
        <v>224</v>
      </c>
      <c r="Q49" s="39" t="s">
        <v>225</v>
      </c>
    </row>
    <row r="50" spans="2:17" ht="18" x14ac:dyDescent="0.25">
      <c r="B50" s="39"/>
      <c r="Q50" s="39"/>
    </row>
    <row r="51" spans="2:17" ht="18" x14ac:dyDescent="0.25">
      <c r="B51" s="39" t="s">
        <v>226</v>
      </c>
      <c r="C51" s="44"/>
      <c r="D51" s="44"/>
      <c r="E51" s="44"/>
      <c r="F51" s="44"/>
      <c r="G51" s="44"/>
      <c r="H51" s="44"/>
      <c r="I51" s="44"/>
      <c r="J51" s="44"/>
      <c r="K51" s="1"/>
      <c r="Q51" s="39" t="s">
        <v>215</v>
      </c>
    </row>
    <row r="52" spans="2:17" ht="18" x14ac:dyDescent="0.25">
      <c r="B52" s="39"/>
      <c r="C52" s="45"/>
      <c r="D52" s="45"/>
      <c r="E52" s="45"/>
      <c r="F52" s="45"/>
      <c r="G52" s="45"/>
      <c r="H52" s="45"/>
      <c r="I52" s="45"/>
      <c r="J52" s="45"/>
      <c r="Q52" s="39" t="s">
        <v>227</v>
      </c>
    </row>
    <row r="53" spans="2:17" ht="18" x14ac:dyDescent="0.25">
      <c r="B53" s="39" t="s">
        <v>228</v>
      </c>
      <c r="C53" s="45"/>
      <c r="D53" s="45"/>
      <c r="E53" s="45"/>
      <c r="F53" s="45"/>
      <c r="G53" s="45"/>
      <c r="H53" s="45"/>
      <c r="I53" s="45"/>
      <c r="J53" s="45"/>
      <c r="Q53" s="39" t="s">
        <v>229</v>
      </c>
    </row>
    <row r="54" spans="2:17" ht="18" x14ac:dyDescent="0.25">
      <c r="B54" s="39"/>
      <c r="C54" s="45"/>
      <c r="D54" s="45"/>
      <c r="E54" s="45"/>
      <c r="F54" s="45"/>
      <c r="G54" s="45"/>
      <c r="H54" s="45"/>
      <c r="I54" s="45"/>
      <c r="J54" s="45"/>
    </row>
    <row r="55" spans="2:17" ht="18" x14ac:dyDescent="0.25">
      <c r="B55" s="39" t="s">
        <v>230</v>
      </c>
      <c r="C55" s="45"/>
      <c r="D55" s="45"/>
      <c r="E55" s="45"/>
      <c r="F55" s="45"/>
      <c r="G55" s="45"/>
      <c r="H55" s="45"/>
      <c r="I55" s="45"/>
      <c r="J55" s="45"/>
    </row>
    <row r="56" spans="2:17" ht="18" x14ac:dyDescent="0.25">
      <c r="B56" s="39"/>
      <c r="C56" s="45"/>
      <c r="D56" s="45"/>
      <c r="E56" s="45"/>
      <c r="F56" s="45"/>
      <c r="G56" s="45"/>
      <c r="H56" s="45"/>
      <c r="I56" s="45"/>
      <c r="J56" s="45"/>
    </row>
    <row r="57" spans="2:17" ht="18" x14ac:dyDescent="0.25">
      <c r="B57" s="39" t="s">
        <v>231</v>
      </c>
      <c r="C57" s="45"/>
      <c r="D57" s="45"/>
      <c r="E57" s="45"/>
      <c r="F57" s="45"/>
      <c r="G57" s="45"/>
      <c r="H57" s="45"/>
      <c r="I57" s="45"/>
      <c r="J57" s="45"/>
      <c r="Q57" s="39" t="s">
        <v>232</v>
      </c>
    </row>
    <row r="58" spans="2:17" ht="18" x14ac:dyDescent="0.25">
      <c r="B58" s="39"/>
      <c r="C58" s="45"/>
      <c r="D58" s="45"/>
      <c r="E58" s="45"/>
      <c r="F58" s="45"/>
      <c r="G58" s="45"/>
      <c r="H58" s="45"/>
      <c r="I58" s="45"/>
      <c r="J58" s="45"/>
      <c r="Q58" s="39"/>
    </row>
    <row r="59" spans="2:17" ht="18" x14ac:dyDescent="0.25">
      <c r="B59" s="39" t="s">
        <v>215</v>
      </c>
      <c r="C59" s="45"/>
      <c r="D59" s="45"/>
      <c r="E59" s="45"/>
      <c r="F59" s="45"/>
      <c r="G59" s="45"/>
      <c r="H59" s="45"/>
      <c r="I59" s="45"/>
      <c r="J59" s="45"/>
      <c r="Q59" s="39" t="s">
        <v>233</v>
      </c>
    </row>
    <row r="60" spans="2:17" ht="18" x14ac:dyDescent="0.25">
      <c r="B60" s="39" t="s">
        <v>234</v>
      </c>
      <c r="C60" s="45"/>
      <c r="D60" s="45"/>
      <c r="E60" s="45"/>
      <c r="F60" s="45"/>
      <c r="G60" s="45"/>
      <c r="H60" s="45"/>
      <c r="I60" s="45"/>
      <c r="J60" s="45"/>
      <c r="Q60" s="39"/>
    </row>
    <row r="61" spans="2:17" ht="18" x14ac:dyDescent="0.25">
      <c r="B61" s="45"/>
      <c r="C61" s="45"/>
      <c r="D61" s="45"/>
      <c r="E61" s="45"/>
      <c r="F61" s="45"/>
      <c r="G61" s="45"/>
      <c r="H61" s="45"/>
      <c r="I61" s="45"/>
      <c r="J61" s="45"/>
      <c r="Q61" s="39" t="s">
        <v>235</v>
      </c>
    </row>
    <row r="62" spans="2:17" ht="18" x14ac:dyDescent="0.25">
      <c r="B62" s="45"/>
      <c r="C62" s="45"/>
      <c r="D62" s="45"/>
      <c r="E62" s="45"/>
      <c r="F62" s="45"/>
      <c r="G62" s="45"/>
      <c r="H62" s="45"/>
      <c r="I62" s="45"/>
      <c r="J62" s="45"/>
      <c r="Q62" s="39"/>
    </row>
    <row r="63" spans="2:17" ht="18" x14ac:dyDescent="0.25">
      <c r="B63" s="45"/>
      <c r="C63" s="45"/>
      <c r="D63" s="45"/>
      <c r="E63" s="45"/>
      <c r="F63" s="45"/>
      <c r="G63" s="45"/>
      <c r="H63" s="45"/>
      <c r="I63" s="45"/>
      <c r="J63" s="45"/>
      <c r="Q63" s="39" t="s">
        <v>236</v>
      </c>
    </row>
    <row r="64" spans="2:17" ht="18" x14ac:dyDescent="0.25">
      <c r="B64" s="45"/>
      <c r="C64" s="45"/>
      <c r="D64" s="45"/>
      <c r="E64" s="45"/>
      <c r="F64" s="45"/>
      <c r="G64" s="45"/>
      <c r="H64" s="45"/>
      <c r="I64" s="45"/>
      <c r="J64" s="39" t="s">
        <v>237</v>
      </c>
      <c r="Q64" s="39"/>
    </row>
    <row r="65" spans="2:17" ht="18" x14ac:dyDescent="0.25">
      <c r="B65" s="45"/>
      <c r="C65" s="45"/>
      <c r="D65" s="45"/>
      <c r="E65" s="45"/>
      <c r="F65" s="45"/>
      <c r="G65" s="45"/>
      <c r="H65" s="45"/>
      <c r="I65" s="45"/>
      <c r="J65" s="39"/>
      <c r="Q65" s="39" t="s">
        <v>231</v>
      </c>
    </row>
    <row r="66" spans="2:17" ht="18" x14ac:dyDescent="0.25">
      <c r="B66" s="45"/>
      <c r="C66" s="45"/>
      <c r="D66" s="45"/>
      <c r="E66" s="45"/>
      <c r="F66" s="45"/>
      <c r="G66" s="45"/>
      <c r="H66" s="45"/>
      <c r="I66" s="45"/>
      <c r="J66" s="39" t="s">
        <v>238</v>
      </c>
    </row>
    <row r="67" spans="2:17" ht="18" x14ac:dyDescent="0.25">
      <c r="C67" s="45"/>
      <c r="D67" s="45"/>
      <c r="E67" s="45"/>
      <c r="F67" s="45"/>
      <c r="G67" s="45"/>
      <c r="H67" s="45"/>
      <c r="I67" s="45"/>
      <c r="J67" s="39"/>
      <c r="Q67" s="39" t="s">
        <v>215</v>
      </c>
    </row>
    <row r="68" spans="2:17" ht="18" x14ac:dyDescent="0.25">
      <c r="J68" s="39" t="s">
        <v>239</v>
      </c>
      <c r="Q68" s="39" t="s">
        <v>240</v>
      </c>
    </row>
    <row r="69" spans="2:17" ht="18" x14ac:dyDescent="0.25">
      <c r="J69" s="39"/>
      <c r="Q69" s="39" t="s">
        <v>241</v>
      </c>
    </row>
    <row r="70" spans="2:17" ht="18" x14ac:dyDescent="0.25">
      <c r="J70" s="39" t="s">
        <v>242</v>
      </c>
    </row>
    <row r="71" spans="2:17" ht="18" x14ac:dyDescent="0.25">
      <c r="J71" s="39"/>
    </row>
    <row r="72" spans="2:17" ht="18" x14ac:dyDescent="0.25">
      <c r="J72" s="39" t="s">
        <v>231</v>
      </c>
    </row>
    <row r="73" spans="2:17" ht="18" x14ac:dyDescent="0.25">
      <c r="J73" s="39"/>
    </row>
    <row r="74" spans="2:17" ht="18" x14ac:dyDescent="0.25">
      <c r="J74" s="39" t="s">
        <v>215</v>
      </c>
    </row>
    <row r="75" spans="2:17" ht="18" x14ac:dyDescent="0.25">
      <c r="J75" s="39" t="s">
        <v>243</v>
      </c>
      <c r="Q75" s="39"/>
    </row>
    <row r="76" spans="2:17" ht="18" x14ac:dyDescent="0.25">
      <c r="J76" s="39"/>
    </row>
    <row r="77" spans="2:17" ht="18" x14ac:dyDescent="0.25">
      <c r="J77" s="39" t="s">
        <v>244</v>
      </c>
    </row>
    <row r="78" spans="2:17" ht="18" x14ac:dyDescent="0.25">
      <c r="J78" s="39"/>
    </row>
    <row r="79" spans="2:17" ht="18" x14ac:dyDescent="0.25">
      <c r="J79" s="39" t="s">
        <v>245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FF00"/>
    <outlinePr summaryBelow="0" summaryRight="0"/>
  </sheetPr>
  <dimension ref="A2:M63"/>
  <sheetViews>
    <sheetView workbookViewId="0"/>
  </sheetViews>
  <sheetFormatPr defaultColWidth="12.5703125" defaultRowHeight="15.75" customHeight="1" x14ac:dyDescent="0.2"/>
  <cols>
    <col min="2" max="2" width="37.5703125" customWidth="1"/>
    <col min="4" max="4" width="16" customWidth="1"/>
    <col min="5" max="5" width="31" customWidth="1"/>
    <col min="6" max="6" width="26.5703125" customWidth="1"/>
    <col min="9" max="9" width="32.42578125" customWidth="1"/>
    <col min="11" max="11" width="41.42578125" customWidth="1"/>
    <col min="12" max="12" width="24.28515625" customWidth="1"/>
  </cols>
  <sheetData>
    <row r="2" spans="1:12" x14ac:dyDescent="0.2">
      <c r="A2" s="19"/>
      <c r="C2" s="11" t="s">
        <v>60</v>
      </c>
      <c r="D2" s="11" t="s">
        <v>153</v>
      </c>
      <c r="E2" s="11" t="s">
        <v>246</v>
      </c>
      <c r="F2" s="11" t="s">
        <v>247</v>
      </c>
      <c r="I2" s="1" t="s">
        <v>248</v>
      </c>
      <c r="J2" s="44" t="s">
        <v>249</v>
      </c>
      <c r="K2" s="1" t="s">
        <v>250</v>
      </c>
      <c r="L2" s="1" t="s">
        <v>251</v>
      </c>
    </row>
    <row r="3" spans="1:12" x14ac:dyDescent="0.2">
      <c r="A3" s="19"/>
      <c r="C3" s="6">
        <v>1</v>
      </c>
      <c r="D3" s="6">
        <f>CFADS!I4</f>
        <v>-0.6</v>
      </c>
      <c r="E3" s="46">
        <f>1/((1+Intro!$A$28)^C3)</f>
        <v>0.93131548311990686</v>
      </c>
      <c r="F3" s="46">
        <f t="shared" ref="F3:F17" si="0">D3*E3</f>
        <v>-0.55878928987194409</v>
      </c>
      <c r="I3" s="8" t="s">
        <v>252</v>
      </c>
      <c r="J3" s="45" t="s">
        <v>253</v>
      </c>
      <c r="K3" s="8" t="s">
        <v>254</v>
      </c>
      <c r="L3" s="8" t="s">
        <v>255</v>
      </c>
    </row>
    <row r="4" spans="1:12" x14ac:dyDescent="0.2">
      <c r="C4" s="6">
        <v>2</v>
      </c>
      <c r="D4" s="6">
        <f>CFADS!I5</f>
        <v>-1.2</v>
      </c>
      <c r="E4" s="46">
        <f>1/((1+Intro!$A$28)^C4)</f>
        <v>0.86734852909886551</v>
      </c>
      <c r="F4" s="46">
        <f t="shared" si="0"/>
        <v>-1.0408182349186386</v>
      </c>
      <c r="I4" s="8" t="s">
        <v>256</v>
      </c>
      <c r="J4" s="45" t="s">
        <v>257</v>
      </c>
      <c r="K4" s="8" t="s">
        <v>258</v>
      </c>
      <c r="L4" s="8" t="s">
        <v>259</v>
      </c>
    </row>
    <row r="5" spans="1:12" x14ac:dyDescent="0.2">
      <c r="C5" s="6">
        <v>3</v>
      </c>
      <c r="D5" s="6">
        <f>CFADS!I6</f>
        <v>0.3</v>
      </c>
      <c r="E5" s="46">
        <f>1/((1+Intro!$A$28)^C5)</f>
        <v>0.80777511441105054</v>
      </c>
      <c r="F5" s="46">
        <f t="shared" si="0"/>
        <v>0.24233253432331514</v>
      </c>
      <c r="I5" s="8" t="s">
        <v>260</v>
      </c>
      <c r="J5" s="45" t="s">
        <v>261</v>
      </c>
      <c r="K5" s="8" t="s">
        <v>262</v>
      </c>
      <c r="L5" s="8" t="s">
        <v>263</v>
      </c>
    </row>
    <row r="6" spans="1:12" x14ac:dyDescent="0.2">
      <c r="C6" s="6">
        <v>4</v>
      </c>
      <c r="D6" s="6">
        <f>CFADS!I7</f>
        <v>5</v>
      </c>
      <c r="E6" s="46">
        <f>1/((1+Intro!$A$28)^C6)</f>
        <v>0.75229347092996557</v>
      </c>
      <c r="F6" s="46">
        <f t="shared" si="0"/>
        <v>3.7614673546498278</v>
      </c>
      <c r="I6" s="8" t="s">
        <v>264</v>
      </c>
      <c r="J6" s="45" t="s">
        <v>265</v>
      </c>
      <c r="K6" s="8" t="s">
        <v>266</v>
      </c>
      <c r="L6" s="8" t="s">
        <v>267</v>
      </c>
    </row>
    <row r="7" spans="1:12" x14ac:dyDescent="0.2">
      <c r="C7" s="6">
        <v>5</v>
      </c>
      <c r="D7" s="6">
        <f>CFADS!I8</f>
        <v>12.4</v>
      </c>
      <c r="E7" s="46">
        <f>1/((1+Intro!$A$28)^C7)</f>
        <v>0.70062255732709255</v>
      </c>
      <c r="F7" s="46">
        <f t="shared" si="0"/>
        <v>8.6877197108559479</v>
      </c>
      <c r="I7" s="8" t="s">
        <v>268</v>
      </c>
      <c r="J7" s="45" t="s">
        <v>269</v>
      </c>
      <c r="K7" s="8" t="s">
        <v>270</v>
      </c>
      <c r="L7" s="8" t="s">
        <v>271</v>
      </c>
    </row>
    <row r="8" spans="1:12" x14ac:dyDescent="0.2">
      <c r="C8" s="6">
        <v>6</v>
      </c>
      <c r="D8" s="6">
        <f>CFADS!I9</f>
        <v>16.8</v>
      </c>
      <c r="E8" s="46">
        <f>1/((1+Intro!$A$28)^C8)</f>
        <v>0.65250063546178583</v>
      </c>
      <c r="F8" s="46">
        <f t="shared" si="0"/>
        <v>10.962010675758002</v>
      </c>
    </row>
    <row r="9" spans="1:12" x14ac:dyDescent="0.2">
      <c r="C9" s="6">
        <v>7</v>
      </c>
      <c r="D9" s="6">
        <f>CFADS!I10</f>
        <v>20.6</v>
      </c>
      <c r="E9" s="46">
        <f>1/((1+Intro!$A$28)^C9)</f>
        <v>0.60768394455113928</v>
      </c>
      <c r="F9" s="46">
        <f t="shared" si="0"/>
        <v>12.518289257753469</v>
      </c>
    </row>
    <row r="10" spans="1:12" x14ac:dyDescent="0.2">
      <c r="C10" s="6">
        <v>8</v>
      </c>
      <c r="D10" s="6">
        <f>CFADS!I11</f>
        <v>22.45</v>
      </c>
      <c r="E10" s="46">
        <f>1/((1+Intro!$A$28)^C10)</f>
        <v>0.56594546640385501</v>
      </c>
      <c r="F10" s="46">
        <f t="shared" si="0"/>
        <v>12.705475720766545</v>
      </c>
      <c r="I10" s="1" t="s">
        <v>52</v>
      </c>
      <c r="J10" s="1" t="s">
        <v>251</v>
      </c>
    </row>
    <row r="11" spans="1:12" x14ac:dyDescent="0.2">
      <c r="C11" s="6">
        <v>9</v>
      </c>
      <c r="D11" s="6">
        <f>CFADS!I12</f>
        <v>23.6</v>
      </c>
      <c r="E11" s="46">
        <f>1/((1+Intro!$A$28)^C11)</f>
        <v>0.52707377546342726</v>
      </c>
      <c r="F11" s="46">
        <f t="shared" si="0"/>
        <v>12.438941100936884</v>
      </c>
      <c r="I11" s="8" t="s">
        <v>272</v>
      </c>
      <c r="J11" s="8" t="s">
        <v>273</v>
      </c>
    </row>
    <row r="12" spans="1:12" x14ac:dyDescent="0.2">
      <c r="C12" s="6">
        <v>10</v>
      </c>
      <c r="D12" s="6">
        <f>CFADS!I13</f>
        <v>21.25</v>
      </c>
      <c r="E12" s="46">
        <f>1/((1+Intro!$A$28)^C12)</f>
        <v>0.49087196783555509</v>
      </c>
      <c r="F12" s="46">
        <f t="shared" si="0"/>
        <v>10.431029316505546</v>
      </c>
      <c r="I12" s="8" t="s">
        <v>53</v>
      </c>
      <c r="J12" s="8" t="s">
        <v>274</v>
      </c>
    </row>
    <row r="13" spans="1:12" x14ac:dyDescent="0.2">
      <c r="C13" s="6">
        <v>11</v>
      </c>
      <c r="D13" s="6">
        <f>CFADS!I14</f>
        <v>17.600000000000001</v>
      </c>
      <c r="E13" s="46">
        <f>1/((1+Intro!$A$28)^C13)</f>
        <v>0.45715666387478937</v>
      </c>
      <c r="F13" s="46">
        <f t="shared" si="0"/>
        <v>8.0459572841962927</v>
      </c>
      <c r="I13" s="8" t="s">
        <v>275</v>
      </c>
      <c r="J13" s="8" t="s">
        <v>276</v>
      </c>
    </row>
    <row r="14" spans="1:12" x14ac:dyDescent="0.2">
      <c r="C14" s="6">
        <v>12</v>
      </c>
      <c r="D14" s="6">
        <f>CFADS!I15</f>
        <v>17.45</v>
      </c>
      <c r="E14" s="46">
        <f>1/((1+Intro!$A$28)^C14)</f>
        <v>0.42575707927803441</v>
      </c>
      <c r="F14" s="46">
        <f t="shared" si="0"/>
        <v>7.4294610334016999</v>
      </c>
      <c r="I14" s="8" t="s">
        <v>277</v>
      </c>
      <c r="J14" s="8" t="s">
        <v>278</v>
      </c>
      <c r="K14" s="1"/>
    </row>
    <row r="15" spans="1:12" x14ac:dyDescent="0.2">
      <c r="C15" s="6">
        <v>13</v>
      </c>
      <c r="D15" s="6">
        <f>CFADS!I16</f>
        <v>15.4</v>
      </c>
      <c r="E15" s="46">
        <f>1/((1+Intro!$A$28)^C15)</f>
        <v>0.39651415997954303</v>
      </c>
      <c r="F15" s="46">
        <f t="shared" si="0"/>
        <v>6.106318063684963</v>
      </c>
    </row>
    <row r="16" spans="1:12" x14ac:dyDescent="0.2">
      <c r="C16" s="6">
        <v>14</v>
      </c>
      <c r="D16" s="6">
        <f>CFADS!I17</f>
        <v>13.7</v>
      </c>
      <c r="E16" s="46">
        <f>1/((1+Intro!$A$28)^C16)</f>
        <v>0.36927977646523219</v>
      </c>
      <c r="F16" s="46">
        <f t="shared" si="0"/>
        <v>5.0591329375736809</v>
      </c>
    </row>
    <row r="17" spans="3:13" x14ac:dyDescent="0.2">
      <c r="C17" s="6">
        <v>15</v>
      </c>
      <c r="D17" s="6">
        <f>CFADS!I18</f>
        <v>11.75</v>
      </c>
      <c r="E17" s="46">
        <f>1/((1+Intro!$A$28)^C17)</f>
        <v>0.34391597342512892</v>
      </c>
      <c r="F17" s="46">
        <f t="shared" si="0"/>
        <v>4.0410126877452646</v>
      </c>
    </row>
    <row r="19" spans="3:13" ht="15.75" customHeight="1" x14ac:dyDescent="0.25">
      <c r="C19" s="19"/>
      <c r="E19" s="47" t="s">
        <v>51</v>
      </c>
      <c r="F19" s="15">
        <f>SUM(F3:F17)/Intro!C8</f>
        <v>1.4004102799077895</v>
      </c>
      <c r="G19" s="8" t="s">
        <v>279</v>
      </c>
      <c r="H19" s="8" t="s">
        <v>280</v>
      </c>
      <c r="I19" s="8" t="s">
        <v>281</v>
      </c>
      <c r="K19" s="8" t="s">
        <v>282</v>
      </c>
      <c r="L19" s="8" t="s">
        <v>283</v>
      </c>
      <c r="M19" s="8" t="s">
        <v>284</v>
      </c>
    </row>
    <row r="20" spans="3:13" x14ac:dyDescent="0.2">
      <c r="K20" s="8" t="s">
        <v>285</v>
      </c>
      <c r="L20" s="8" t="s">
        <v>286</v>
      </c>
      <c r="M20" s="8" t="s">
        <v>287</v>
      </c>
    </row>
    <row r="21" spans="3:13" x14ac:dyDescent="0.2">
      <c r="E21" s="48" t="s">
        <v>52</v>
      </c>
      <c r="F21" s="15">
        <f>SUM(F7:F15)/Intro!C8</f>
        <v>1.2406278078313797</v>
      </c>
      <c r="G21" s="8" t="s">
        <v>288</v>
      </c>
      <c r="H21" s="8" t="s">
        <v>289</v>
      </c>
      <c r="I21" s="8" t="s">
        <v>290</v>
      </c>
    </row>
    <row r="25" spans="3:13" x14ac:dyDescent="0.2">
      <c r="J25" s="8" t="s">
        <v>291</v>
      </c>
    </row>
    <row r="26" spans="3:13" x14ac:dyDescent="0.2">
      <c r="J26" s="8" t="s">
        <v>292</v>
      </c>
    </row>
    <row r="27" spans="3:13" x14ac:dyDescent="0.2">
      <c r="J27" s="8" t="s">
        <v>293</v>
      </c>
    </row>
    <row r="33" spans="2:8" ht="15.75" customHeight="1" x14ac:dyDescent="0.25">
      <c r="B33" s="39" t="s">
        <v>294</v>
      </c>
    </row>
    <row r="34" spans="2:8" x14ac:dyDescent="0.2">
      <c r="B34" s="49" t="s">
        <v>295</v>
      </c>
    </row>
    <row r="35" spans="2:8" ht="15" x14ac:dyDescent="0.2">
      <c r="B35" s="49" t="s">
        <v>296</v>
      </c>
      <c r="H35" s="8" t="s">
        <v>297</v>
      </c>
    </row>
    <row r="36" spans="2:8" ht="15" x14ac:dyDescent="0.2">
      <c r="B36" s="49" t="s">
        <v>298</v>
      </c>
    </row>
    <row r="37" spans="2:8" ht="18" x14ac:dyDescent="0.25">
      <c r="B37" s="39"/>
    </row>
    <row r="39" spans="2:8" ht="18" x14ac:dyDescent="0.25">
      <c r="B39" s="39" t="s">
        <v>299</v>
      </c>
    </row>
    <row r="40" spans="2:8" ht="14.25" x14ac:dyDescent="0.2">
      <c r="B40" s="50" t="s">
        <v>300</v>
      </c>
    </row>
    <row r="41" spans="2:8" ht="14.25" x14ac:dyDescent="0.2">
      <c r="B41" s="50" t="s">
        <v>301</v>
      </c>
    </row>
    <row r="42" spans="2:8" ht="14.25" x14ac:dyDescent="0.2">
      <c r="B42" s="50" t="s">
        <v>302</v>
      </c>
    </row>
    <row r="43" spans="2:8" ht="14.25" x14ac:dyDescent="0.2">
      <c r="B43" s="50" t="s">
        <v>303</v>
      </c>
    </row>
    <row r="44" spans="2:8" ht="14.25" x14ac:dyDescent="0.2">
      <c r="B44" s="50" t="s">
        <v>304</v>
      </c>
    </row>
    <row r="46" spans="2:8" ht="18" x14ac:dyDescent="0.25">
      <c r="B46" s="39"/>
    </row>
    <row r="47" spans="2:8" ht="18" x14ac:dyDescent="0.25">
      <c r="B47" s="39" t="s">
        <v>305</v>
      </c>
    </row>
    <row r="48" spans="2:8" ht="14.25" x14ac:dyDescent="0.2">
      <c r="B48" s="50" t="s">
        <v>306</v>
      </c>
    </row>
    <row r="49" spans="2:2" ht="14.25" x14ac:dyDescent="0.2">
      <c r="B49" s="50" t="s">
        <v>307</v>
      </c>
    </row>
    <row r="50" spans="2:2" ht="14.25" x14ac:dyDescent="0.2">
      <c r="B50" s="50" t="s">
        <v>308</v>
      </c>
    </row>
    <row r="51" spans="2:2" ht="14.25" x14ac:dyDescent="0.2">
      <c r="B51" s="50" t="s">
        <v>309</v>
      </c>
    </row>
    <row r="54" spans="2:2" ht="18" x14ac:dyDescent="0.25">
      <c r="B54" s="39" t="s">
        <v>310</v>
      </c>
    </row>
    <row r="55" spans="2:2" ht="15" x14ac:dyDescent="0.2">
      <c r="B55" s="49" t="s">
        <v>311</v>
      </c>
    </row>
    <row r="56" spans="2:2" ht="15" x14ac:dyDescent="0.2">
      <c r="B56" s="49" t="s">
        <v>312</v>
      </c>
    </row>
    <row r="57" spans="2:2" ht="15" x14ac:dyDescent="0.2">
      <c r="B57" s="49" t="s">
        <v>313</v>
      </c>
    </row>
    <row r="61" spans="2:2" ht="18" x14ac:dyDescent="0.25">
      <c r="B61" s="39"/>
    </row>
    <row r="63" spans="2:2" ht="18" x14ac:dyDescent="0.25">
      <c r="B63" s="39"/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FF00"/>
  </sheetPr>
  <dimension ref="A1:AJ58"/>
  <sheetViews>
    <sheetView topLeftCell="C1" workbookViewId="0">
      <selection activeCell="AE1" sqref="AE1:AJ16"/>
    </sheetView>
  </sheetViews>
  <sheetFormatPr defaultColWidth="12.5703125" defaultRowHeight="15.75" customHeight="1" x14ac:dyDescent="0.2"/>
  <cols>
    <col min="1" max="1" width="15.7109375" customWidth="1"/>
    <col min="2" max="2" width="10.7109375" customWidth="1"/>
    <col min="3" max="3" width="9.42578125" customWidth="1"/>
    <col min="4" max="4" width="8.5703125" customWidth="1"/>
    <col min="5" max="5" width="9.140625" customWidth="1"/>
    <col min="6" max="6" width="8" customWidth="1"/>
    <col min="7" max="7" width="7.140625" customWidth="1"/>
    <col min="8" max="8" width="7.42578125" customWidth="1"/>
    <col min="9" max="9" width="5.140625" customWidth="1"/>
    <col min="10" max="10" width="15.7109375" customWidth="1"/>
    <col min="11" max="11" width="25.28515625" customWidth="1"/>
    <col min="12" max="12" width="28.5703125" customWidth="1"/>
    <col min="13" max="13" width="8.42578125" customWidth="1"/>
    <col min="14" max="14" width="10.42578125" customWidth="1"/>
    <col min="15" max="15" width="8.42578125" customWidth="1"/>
    <col min="16" max="16" width="9.140625" customWidth="1"/>
    <col min="17" max="18" width="8.42578125" customWidth="1"/>
    <col min="19" max="19" width="12" customWidth="1"/>
    <col min="20" max="20" width="10.85546875" customWidth="1"/>
    <col min="21" max="21" width="10" customWidth="1"/>
    <col min="22" max="22" width="10.5703125" customWidth="1"/>
    <col min="23" max="23" width="9.42578125" customWidth="1"/>
    <col min="24" max="24" width="8.5703125" customWidth="1"/>
    <col min="25" max="25" width="6.85546875" customWidth="1"/>
    <col min="26" max="26" width="15.7109375" customWidth="1"/>
    <col min="27" max="27" width="13" customWidth="1"/>
    <col min="28" max="28" width="7.28515625" customWidth="1"/>
    <col min="29" max="29" width="7.42578125" customWidth="1"/>
    <col min="30" max="30" width="7.28515625" customWidth="1"/>
  </cols>
  <sheetData>
    <row r="1" spans="1:36" x14ac:dyDescent="0.2">
      <c r="A1" s="51" t="s">
        <v>60</v>
      </c>
      <c r="B1" s="51" t="s">
        <v>314</v>
      </c>
      <c r="C1" s="51" t="s">
        <v>315</v>
      </c>
      <c r="D1" s="51" t="s">
        <v>316</v>
      </c>
      <c r="E1" s="51" t="s">
        <v>154</v>
      </c>
      <c r="F1" s="51" t="s">
        <v>156</v>
      </c>
      <c r="G1" s="51" t="s">
        <v>158</v>
      </c>
      <c r="H1" s="51" t="s">
        <v>317</v>
      </c>
      <c r="I1" s="51" t="s">
        <v>318</v>
      </c>
      <c r="J1" s="51" t="s">
        <v>319</v>
      </c>
      <c r="K1" s="51" t="s">
        <v>320</v>
      </c>
      <c r="L1" s="51" t="s">
        <v>321</v>
      </c>
      <c r="M1" s="51" t="s">
        <v>322</v>
      </c>
      <c r="N1" s="51" t="s">
        <v>323</v>
      </c>
      <c r="O1" s="51" t="s">
        <v>324</v>
      </c>
      <c r="P1" s="51" t="s">
        <v>325</v>
      </c>
      <c r="Q1" s="51" t="s">
        <v>326</v>
      </c>
      <c r="R1" s="51" t="s">
        <v>327</v>
      </c>
      <c r="S1" s="51" t="s">
        <v>155</v>
      </c>
      <c r="T1" s="51" t="s">
        <v>157</v>
      </c>
      <c r="U1" s="51" t="s">
        <v>159</v>
      </c>
      <c r="V1" s="51" t="s">
        <v>328</v>
      </c>
      <c r="W1" s="51" t="s">
        <v>329</v>
      </c>
      <c r="X1" s="51" t="s">
        <v>330</v>
      </c>
      <c r="Y1" s="51" t="s">
        <v>331</v>
      </c>
      <c r="Z1" s="51" t="s">
        <v>161</v>
      </c>
      <c r="AA1" s="51" t="s">
        <v>332</v>
      </c>
      <c r="AB1" s="51" t="s">
        <v>333</v>
      </c>
      <c r="AC1" s="51" t="s">
        <v>334</v>
      </c>
      <c r="AD1" s="51" t="s">
        <v>335</v>
      </c>
      <c r="AE1" t="s">
        <v>336</v>
      </c>
      <c r="AF1" t="s">
        <v>337</v>
      </c>
      <c r="AG1" t="s">
        <v>338</v>
      </c>
      <c r="AH1" t="s">
        <v>339</v>
      </c>
      <c r="AI1" t="s">
        <v>340</v>
      </c>
      <c r="AJ1" t="s">
        <v>341</v>
      </c>
    </row>
    <row r="2" spans="1:36" ht="15.75" customHeight="1" x14ac:dyDescent="0.25">
      <c r="A2" s="8">
        <v>1</v>
      </c>
      <c r="B2" s="52">
        <f>IF(A2=1, 'Params (waterfall only)'!$B$2, V1)</f>
        <v>43.199999999999996</v>
      </c>
      <c r="C2" s="52">
        <f>IF(A2=1, 'Params (waterfall only)'!$B$3, W1)</f>
        <v>18</v>
      </c>
      <c r="D2" s="52">
        <f>IF(A2=1, 'Params (waterfall only)'!$B$4, X1)</f>
        <v>10.799999999999999</v>
      </c>
      <c r="E2" s="53">
        <f>B2*'Params (waterfall only)'!$B$5</f>
        <v>2.5920000000000001</v>
      </c>
      <c r="F2" s="53">
        <f>C2*'Params (waterfall only)'!$B$6</f>
        <v>1.53</v>
      </c>
      <c r="G2" s="53">
        <f>D2*'Params (waterfall only)'!$B$7</f>
        <v>1.1879999999999999</v>
      </c>
      <c r="H2" s="52">
        <f>IF(A2&lt;='Params (waterfall only)'!$B$8, 0, MIN(CFADS!I4, CFADS!I4/'Params (waterfall only)'!$B$10))</f>
        <v>0</v>
      </c>
      <c r="I2" s="52">
        <f t="shared" ref="I2:I16" si="0">MAX(0, H2-(E2+F2+G2))</f>
        <v>0</v>
      </c>
      <c r="J2" s="54">
        <f>MIN(B2, 'Params (waterfall only)'!$B$11*I2)</f>
        <v>0</v>
      </c>
      <c r="K2" s="54">
        <f>MIN(C2, 'Params (waterfall only)'!$B$12*I2)</f>
        <v>0</v>
      </c>
      <c r="L2" s="54">
        <f>MIN(D2, 'Params (waterfall only)'!$B$13*I2)</f>
        <v>0</v>
      </c>
      <c r="M2" s="52">
        <f t="shared" ref="M2:M16" si="1">I2-(J2+K2+L2)</f>
        <v>0</v>
      </c>
      <c r="N2" s="52">
        <f t="shared" ref="N2:N16" si="2">MAX(0, MIN(B2-J2, M2))</f>
        <v>0</v>
      </c>
      <c r="O2" s="52">
        <f t="shared" ref="O2:O16" si="3">MAX(0, M2-N2)</f>
        <v>0</v>
      </c>
      <c r="P2" s="52">
        <f t="shared" ref="P2:P16" si="4">MAX(0, MIN(C2-K2, O2))</f>
        <v>0</v>
      </c>
      <c r="Q2" s="52">
        <f t="shared" ref="Q2:Q16" si="5">MAX(0, O2-P2)</f>
        <v>0</v>
      </c>
      <c r="R2" s="52">
        <f t="shared" ref="R2:R16" si="6">MAX(0, MIN(D2-L2, Q2))</f>
        <v>0</v>
      </c>
      <c r="S2" s="53">
        <f>IF(A2&lt;='Params (waterfall only)'!$B$8,0, J2+N2)</f>
        <v>0</v>
      </c>
      <c r="T2" s="53">
        <f>IF(A2&lt;='Params (waterfall only)'!$B$8,0, K2+P2)</f>
        <v>0</v>
      </c>
      <c r="U2" s="53">
        <f>IF(A2&lt;='Params (waterfall only)'!$B$8,0, L2+R2)</f>
        <v>0</v>
      </c>
      <c r="V2" s="52">
        <f t="shared" ref="V2:V16" si="7">MAX(0, B2-S2)</f>
        <v>43.199999999999996</v>
      </c>
      <c r="W2" s="52">
        <f t="shared" ref="W2:W16" si="8">MAX(0, C2-T2)</f>
        <v>18</v>
      </c>
      <c r="X2" s="52">
        <f t="shared" ref="X2:X16" si="9">MAX(0, D2-U2)</f>
        <v>10.799999999999999</v>
      </c>
      <c r="Y2" s="53">
        <f t="shared" ref="Y2:Y16" si="10">E2+F2+G2+S2+T2+U2</f>
        <v>5.31</v>
      </c>
      <c r="Z2" s="53">
        <v>-0.1129943502824859</v>
      </c>
      <c r="AA2" s="52">
        <f>MAX(0, CFADS!I4 - Y2)</f>
        <v>0</v>
      </c>
      <c r="AB2" s="52">
        <f>0</f>
        <v>0</v>
      </c>
      <c r="AC2" s="52">
        <f>0</f>
        <v>0</v>
      </c>
      <c r="AD2" s="52">
        <f>0</f>
        <v>0</v>
      </c>
      <c r="AE2">
        <v>-18</v>
      </c>
      <c r="AF2">
        <v>5.91</v>
      </c>
      <c r="AG2">
        <v>12</v>
      </c>
      <c r="AH2">
        <v>0</v>
      </c>
      <c r="AI2">
        <v>0</v>
      </c>
      <c r="AJ2">
        <v>0</v>
      </c>
    </row>
    <row r="3" spans="1:36" ht="15.75" customHeight="1" x14ac:dyDescent="0.25">
      <c r="A3" s="8">
        <v>2</v>
      </c>
      <c r="B3" s="52">
        <f>IF(A3=1, 'Params (waterfall only)'!$B$2, V2)</f>
        <v>43.199999999999996</v>
      </c>
      <c r="C3" s="52">
        <f>IF(A3=1, 'Params (waterfall only)'!$B$3, W2)</f>
        <v>18</v>
      </c>
      <c r="D3" s="52">
        <f>IF(A3=1, 'Params (waterfall only)'!$B$4, X2)</f>
        <v>10.799999999999999</v>
      </c>
      <c r="E3" s="53">
        <f>B3*'Params (waterfall only)'!$B$5</f>
        <v>2.5920000000000001</v>
      </c>
      <c r="F3" s="53">
        <f>C3*'Params (waterfall only)'!$B$6</f>
        <v>1.53</v>
      </c>
      <c r="G3" s="53">
        <f>D3*'Params (waterfall only)'!$B$7</f>
        <v>1.1879999999999999</v>
      </c>
      <c r="H3" s="52">
        <f>IF(A3&lt;='Params (waterfall only)'!$B$8, 0, MIN(CFADS!I5, CFADS!I5/'Params (waterfall only)'!$B$10))</f>
        <v>0</v>
      </c>
      <c r="I3" s="52">
        <f t="shared" si="0"/>
        <v>0</v>
      </c>
      <c r="J3" s="54">
        <f>MIN(B3, 'Params (waterfall only)'!$B$11*I3)</f>
        <v>0</v>
      </c>
      <c r="K3" s="54">
        <f>MIN(C3, 'Params (waterfall only)'!$B$12*I3)</f>
        <v>0</v>
      </c>
      <c r="L3" s="54">
        <f>MIN(D3, 'Params (waterfall only)'!$B$13*I3)</f>
        <v>0</v>
      </c>
      <c r="M3" s="52">
        <f t="shared" si="1"/>
        <v>0</v>
      </c>
      <c r="N3" s="52">
        <f t="shared" si="2"/>
        <v>0</v>
      </c>
      <c r="O3" s="52">
        <f t="shared" si="3"/>
        <v>0</v>
      </c>
      <c r="P3" s="52">
        <f t="shared" si="4"/>
        <v>0</v>
      </c>
      <c r="Q3" s="52">
        <f t="shared" si="5"/>
        <v>0</v>
      </c>
      <c r="R3" s="52">
        <f t="shared" si="6"/>
        <v>0</v>
      </c>
      <c r="S3" s="53">
        <f>IF(A3&lt;='Params (waterfall only)'!$B$8,0, J3+N3)</f>
        <v>0</v>
      </c>
      <c r="T3" s="53">
        <f>IF(A3&lt;='Params (waterfall only)'!$B$8,0, K3+P3)</f>
        <v>0</v>
      </c>
      <c r="U3" s="53">
        <f>IF(A3&lt;='Params (waterfall only)'!$B$8,0, L3+R3)</f>
        <v>0</v>
      </c>
      <c r="V3" s="52">
        <f t="shared" si="7"/>
        <v>43.199999999999996</v>
      </c>
      <c r="W3" s="52">
        <f t="shared" si="8"/>
        <v>18</v>
      </c>
      <c r="X3" s="52">
        <f t="shared" si="9"/>
        <v>10.799999999999999</v>
      </c>
      <c r="Y3" s="53">
        <f t="shared" si="10"/>
        <v>5.31</v>
      </c>
      <c r="Z3" s="53">
        <v>-0.22598870056497181</v>
      </c>
      <c r="AA3" s="52">
        <f>MAX(0, CFADS!I5 - Y3)</f>
        <v>0</v>
      </c>
      <c r="AB3" s="52">
        <f>0</f>
        <v>0</v>
      </c>
      <c r="AC3" s="52">
        <f>0</f>
        <v>0</v>
      </c>
      <c r="AD3" s="52">
        <f>0</f>
        <v>0</v>
      </c>
      <c r="AE3">
        <v>0</v>
      </c>
      <c r="AF3">
        <v>6.51</v>
      </c>
      <c r="AG3">
        <v>6.69</v>
      </c>
      <c r="AH3">
        <v>0</v>
      </c>
      <c r="AI3">
        <v>0</v>
      </c>
      <c r="AJ3">
        <v>0</v>
      </c>
    </row>
    <row r="4" spans="1:36" ht="15.75" customHeight="1" x14ac:dyDescent="0.25">
      <c r="A4" s="8">
        <v>3</v>
      </c>
      <c r="B4" s="52">
        <f>IF(A4=1, 'Params (waterfall only)'!$B$2, V3)</f>
        <v>43.199999999999996</v>
      </c>
      <c r="C4" s="52">
        <f>IF(A4=1, 'Params (waterfall only)'!$B$3, W3)</f>
        <v>18</v>
      </c>
      <c r="D4" s="52">
        <f>IF(A4=1, 'Params (waterfall only)'!$B$4, X3)</f>
        <v>10.799999999999999</v>
      </c>
      <c r="E4" s="53">
        <f>B4*'Params (waterfall only)'!$B$5</f>
        <v>2.5920000000000001</v>
      </c>
      <c r="F4" s="53">
        <f>C4*'Params (waterfall only)'!$B$6</f>
        <v>1.53</v>
      </c>
      <c r="G4" s="53">
        <f>D4*'Params (waterfall only)'!$B$7</f>
        <v>1.1879999999999999</v>
      </c>
      <c r="H4" s="52">
        <f>IF(A4&lt;='Params (waterfall only)'!$B$8, 0, MIN(CFADS!I6, CFADS!I6/'Params (waterfall only)'!$B$10))</f>
        <v>0</v>
      </c>
      <c r="I4" s="52">
        <f t="shared" si="0"/>
        <v>0</v>
      </c>
      <c r="J4" s="54">
        <f>MIN(B4, 'Params (waterfall only)'!$B$11*I4)</f>
        <v>0</v>
      </c>
      <c r="K4" s="54">
        <f>MIN(C4, 'Params (waterfall only)'!$B$12*I4)</f>
        <v>0</v>
      </c>
      <c r="L4" s="54">
        <f>MIN(D4, 'Params (waterfall only)'!$B$13*I4)</f>
        <v>0</v>
      </c>
      <c r="M4" s="52">
        <f t="shared" si="1"/>
        <v>0</v>
      </c>
      <c r="N4" s="52">
        <f t="shared" si="2"/>
        <v>0</v>
      </c>
      <c r="O4" s="52">
        <f t="shared" si="3"/>
        <v>0</v>
      </c>
      <c r="P4" s="52">
        <f t="shared" si="4"/>
        <v>0</v>
      </c>
      <c r="Q4" s="52">
        <f t="shared" si="5"/>
        <v>0</v>
      </c>
      <c r="R4" s="52">
        <f t="shared" si="6"/>
        <v>0</v>
      </c>
      <c r="S4" s="53">
        <f>IF(A4&lt;='Params (waterfall only)'!$B$8,0, J4+N4)</f>
        <v>0</v>
      </c>
      <c r="T4" s="53">
        <f>IF(A4&lt;='Params (waterfall only)'!$B$8,0, K4+P4)</f>
        <v>0</v>
      </c>
      <c r="U4" s="53">
        <f>IF(A4&lt;='Params (waterfall only)'!$B$8,0, L4+R4)</f>
        <v>0</v>
      </c>
      <c r="V4" s="52">
        <f t="shared" si="7"/>
        <v>43.199999999999996</v>
      </c>
      <c r="W4" s="52">
        <f t="shared" si="8"/>
        <v>18</v>
      </c>
      <c r="X4" s="52">
        <f t="shared" si="9"/>
        <v>10.799999999999999</v>
      </c>
      <c r="Y4" s="53">
        <f t="shared" si="10"/>
        <v>5.31</v>
      </c>
      <c r="Z4" s="53">
        <v>5.6497175141242958E-2</v>
      </c>
      <c r="AA4" s="52">
        <f>MAX(0, CFADS!I6 - Y4)</f>
        <v>0</v>
      </c>
      <c r="AB4" s="52">
        <f>0</f>
        <v>0</v>
      </c>
      <c r="AC4" s="52">
        <f>0</f>
        <v>0</v>
      </c>
      <c r="AD4" s="52">
        <f>0</f>
        <v>0</v>
      </c>
      <c r="AE4">
        <v>-3.63</v>
      </c>
      <c r="AF4">
        <v>5.01</v>
      </c>
      <c r="AG4">
        <v>5.31</v>
      </c>
      <c r="AH4">
        <v>-0.14000000000000001</v>
      </c>
      <c r="AI4">
        <v>0</v>
      </c>
      <c r="AJ4">
        <v>0.14000000000000001</v>
      </c>
    </row>
    <row r="5" spans="1:36" ht="15.75" customHeight="1" x14ac:dyDescent="0.25">
      <c r="A5" s="8">
        <v>4</v>
      </c>
      <c r="B5" s="52">
        <f>IF(A5=1, 'Params (waterfall only)'!$B$2, V4)</f>
        <v>43.199999999999996</v>
      </c>
      <c r="C5" s="52">
        <f>IF(A5=1, 'Params (waterfall only)'!$B$3, W4)</f>
        <v>18</v>
      </c>
      <c r="D5" s="52">
        <f>IF(A5=1, 'Params (waterfall only)'!$B$4, X4)</f>
        <v>10.799999999999999</v>
      </c>
      <c r="E5" s="53">
        <f>B5*'Params (waterfall only)'!$B$5</f>
        <v>2.5920000000000001</v>
      </c>
      <c r="F5" s="53">
        <f>C5*'Params (waterfall only)'!$B$6</f>
        <v>1.53</v>
      </c>
      <c r="G5" s="53">
        <f>D5*'Params (waterfall only)'!$B$7</f>
        <v>1.1879999999999999</v>
      </c>
      <c r="H5" s="52">
        <f>IF(A5&lt;='Params (waterfall only)'!$B$8, 0, MIN(CFADS!I7, CFADS!I7/'Params (waterfall only)'!$B$10))</f>
        <v>0</v>
      </c>
      <c r="I5" s="52">
        <f t="shared" si="0"/>
        <v>0</v>
      </c>
      <c r="J5" s="54">
        <f>MIN(B5, 'Params (waterfall only)'!$B$11*I5)</f>
        <v>0</v>
      </c>
      <c r="K5" s="54">
        <f>MIN(C5, 'Params (waterfall only)'!$B$12*I5)</f>
        <v>0</v>
      </c>
      <c r="L5" s="54">
        <f>MIN(D5, 'Params (waterfall only)'!$B$13*I5)</f>
        <v>0</v>
      </c>
      <c r="M5" s="52">
        <f t="shared" si="1"/>
        <v>0</v>
      </c>
      <c r="N5" s="52">
        <f t="shared" si="2"/>
        <v>0</v>
      </c>
      <c r="O5" s="52">
        <f t="shared" si="3"/>
        <v>0</v>
      </c>
      <c r="P5" s="52">
        <f t="shared" si="4"/>
        <v>0</v>
      </c>
      <c r="Q5" s="52">
        <f t="shared" si="5"/>
        <v>0</v>
      </c>
      <c r="R5" s="52">
        <f t="shared" si="6"/>
        <v>0</v>
      </c>
      <c r="S5" s="53">
        <f>IF(A5&lt;='Params (waterfall only)'!$B$8,0, J5+N5)</f>
        <v>0</v>
      </c>
      <c r="T5" s="53">
        <f>IF(A5&lt;='Params (waterfall only)'!$B$8,0, K5+P5)</f>
        <v>0</v>
      </c>
      <c r="U5" s="53">
        <f>IF(A5&lt;='Params (waterfall only)'!$B$8,0, L5+R5)</f>
        <v>0</v>
      </c>
      <c r="V5" s="52">
        <f t="shared" si="7"/>
        <v>43.199999999999996</v>
      </c>
      <c r="W5" s="52">
        <f t="shared" si="8"/>
        <v>18</v>
      </c>
      <c r="X5" s="52">
        <f t="shared" si="9"/>
        <v>10.799999999999999</v>
      </c>
      <c r="Y5" s="53">
        <f t="shared" si="10"/>
        <v>5.31</v>
      </c>
      <c r="Z5" s="53">
        <v>0.94161958568738235</v>
      </c>
      <c r="AA5" s="52">
        <f>MAX(0, CFADS!I7 - Y5)</f>
        <v>0</v>
      </c>
      <c r="AB5" s="52">
        <f>0</f>
        <v>0</v>
      </c>
      <c r="AC5" s="52">
        <f>0</f>
        <v>0</v>
      </c>
      <c r="AD5" s="52">
        <f>0</f>
        <v>0</v>
      </c>
      <c r="AE5">
        <v>-3.552</v>
      </c>
      <c r="AF5">
        <v>0.31</v>
      </c>
      <c r="AG5">
        <v>8.5519999999999996</v>
      </c>
      <c r="AH5">
        <v>-0.315</v>
      </c>
      <c r="AI5">
        <v>0</v>
      </c>
      <c r="AJ5">
        <v>0.45500000000000002</v>
      </c>
    </row>
    <row r="6" spans="1:36" ht="15.75" customHeight="1" x14ac:dyDescent="0.25">
      <c r="A6" s="8">
        <v>5</v>
      </c>
      <c r="B6" s="52">
        <f>IF(A6=1, 'Params (waterfall only)'!$B$2, V5)</f>
        <v>43.199999999999996</v>
      </c>
      <c r="C6" s="52">
        <f>IF(A6=1, 'Params (waterfall only)'!$B$3, W5)</f>
        <v>18</v>
      </c>
      <c r="D6" s="52">
        <f>IF(A6=1, 'Params (waterfall only)'!$B$4, X5)</f>
        <v>10.799999999999999</v>
      </c>
      <c r="E6" s="53">
        <f>B6*'Params (waterfall only)'!$B$5</f>
        <v>2.5920000000000001</v>
      </c>
      <c r="F6" s="53">
        <f>C6*'Params (waterfall only)'!$B$6</f>
        <v>1.53</v>
      </c>
      <c r="G6" s="53">
        <f>D6*'Params (waterfall only)'!$B$7</f>
        <v>1.1879999999999999</v>
      </c>
      <c r="H6" s="52">
        <f>IF(A6&lt;='Params (waterfall only)'!$B$8, 0, MIN(CFADS!I8, CFADS!I8/'Params (waterfall only)'!$B$10))</f>
        <v>8.5517241379310356</v>
      </c>
      <c r="I6" s="52">
        <f t="shared" si="0"/>
        <v>3.241724137931036</v>
      </c>
      <c r="J6" s="54">
        <f>MIN(B6, 'Params (waterfall only)'!$B$11*I6)</f>
        <v>2.2692068965517249</v>
      </c>
      <c r="K6" s="54">
        <f>MIN(C6, 'Params (waterfall only)'!$B$12*I6)</f>
        <v>0.7455965517241383</v>
      </c>
      <c r="L6" s="54">
        <f>MIN(D6, 'Params (waterfall only)'!$B$13*I6)</f>
        <v>0.22692068965517254</v>
      </c>
      <c r="M6" s="52">
        <f t="shared" si="1"/>
        <v>0</v>
      </c>
      <c r="N6" s="52">
        <f t="shared" si="2"/>
        <v>0</v>
      </c>
      <c r="O6" s="52">
        <f t="shared" si="3"/>
        <v>0</v>
      </c>
      <c r="P6" s="52">
        <f t="shared" si="4"/>
        <v>0</v>
      </c>
      <c r="Q6" s="52">
        <f t="shared" si="5"/>
        <v>0</v>
      </c>
      <c r="R6" s="52">
        <f t="shared" si="6"/>
        <v>0</v>
      </c>
      <c r="S6" s="53">
        <f>IF(A6&lt;='Params (waterfall only)'!$B$8,0, J6+N6)</f>
        <v>2.2692068965517249</v>
      </c>
      <c r="T6" s="53">
        <f>IF(A6&lt;='Params (waterfall only)'!$B$8,0, K6+P6)</f>
        <v>0.7455965517241383</v>
      </c>
      <c r="U6" s="53">
        <f>IF(A6&lt;='Params (waterfall only)'!$B$8,0, L6+R6)</f>
        <v>0.22692068965517254</v>
      </c>
      <c r="V6" s="52">
        <f t="shared" si="7"/>
        <v>40.930793103448273</v>
      </c>
      <c r="W6" s="52">
        <f t="shared" si="8"/>
        <v>17.254403448275863</v>
      </c>
      <c r="X6" s="52">
        <f t="shared" si="9"/>
        <v>10.573079310344827</v>
      </c>
      <c r="Y6" s="53">
        <f t="shared" si="10"/>
        <v>8.5517241379310338</v>
      </c>
      <c r="Z6" s="53">
        <v>1.449999999988306</v>
      </c>
      <c r="AA6" s="52">
        <f>MAX(0, CFADS!I8 - Y6)</f>
        <v>3.8482758620689665</v>
      </c>
      <c r="AB6" s="52">
        <f>0</f>
        <v>0</v>
      </c>
      <c r="AC6" s="52">
        <f>0</f>
        <v>0</v>
      </c>
      <c r="AD6" s="52">
        <f>0</f>
        <v>0</v>
      </c>
      <c r="AE6">
        <v>-3.8620000000000001</v>
      </c>
      <c r="AF6">
        <v>0</v>
      </c>
      <c r="AG6">
        <v>12.414</v>
      </c>
      <c r="AH6">
        <v>-0.50749999999999995</v>
      </c>
      <c r="AI6">
        <v>0</v>
      </c>
      <c r="AJ6">
        <v>0.96250000000000002</v>
      </c>
    </row>
    <row r="7" spans="1:36" ht="15.75" customHeight="1" x14ac:dyDescent="0.25">
      <c r="A7" s="8">
        <v>6</v>
      </c>
      <c r="B7" s="52">
        <f>IF(A7=1, 'Params (waterfall only)'!$B$2, V6)</f>
        <v>40.930793103448273</v>
      </c>
      <c r="C7" s="52">
        <f>IF(A7=1, 'Params (waterfall only)'!$B$3, W6)</f>
        <v>17.254403448275863</v>
      </c>
      <c r="D7" s="52">
        <f>IF(A7=1, 'Params (waterfall only)'!$B$4, X6)</f>
        <v>10.573079310344827</v>
      </c>
      <c r="E7" s="53">
        <f>B7*'Params (waterfall only)'!$B$5</f>
        <v>2.4558475862068967</v>
      </c>
      <c r="F7" s="53">
        <f>C7*'Params (waterfall only)'!$B$6</f>
        <v>1.4666242931034483</v>
      </c>
      <c r="G7" s="53">
        <f>D7*'Params (waterfall only)'!$B$7</f>
        <v>1.163038724137931</v>
      </c>
      <c r="H7" s="52">
        <f>IF(A7&lt;='Params (waterfall only)'!$B$8, 0, MIN(CFADS!I9, CFADS!I9/'Params (waterfall only)'!$B$10))</f>
        <v>11.586206896551724</v>
      </c>
      <c r="I7" s="52">
        <f t="shared" si="0"/>
        <v>6.5006962931034478</v>
      </c>
      <c r="J7" s="54">
        <f>MIN(B7, 'Params (waterfall only)'!$B$11*I7)</f>
        <v>4.5504874051724133</v>
      </c>
      <c r="K7" s="54">
        <f>MIN(C7, 'Params (waterfall only)'!$B$12*I7)</f>
        <v>1.495160147413793</v>
      </c>
      <c r="L7" s="54">
        <f>MIN(D7, 'Params (waterfall only)'!$B$13*I7)</f>
        <v>0.45504874051724137</v>
      </c>
      <c r="M7" s="52">
        <f t="shared" si="1"/>
        <v>0</v>
      </c>
      <c r="N7" s="52">
        <f t="shared" si="2"/>
        <v>0</v>
      </c>
      <c r="O7" s="52">
        <f t="shared" si="3"/>
        <v>0</v>
      </c>
      <c r="P7" s="52">
        <f t="shared" si="4"/>
        <v>0</v>
      </c>
      <c r="Q7" s="52">
        <f t="shared" si="5"/>
        <v>0</v>
      </c>
      <c r="R7" s="52">
        <f t="shared" si="6"/>
        <v>0</v>
      </c>
      <c r="S7" s="53">
        <f>IF(A7&lt;='Params (waterfall only)'!$B$8,0, J7+N7)</f>
        <v>4.5504874051724133</v>
      </c>
      <c r="T7" s="53">
        <f>IF(A7&lt;='Params (waterfall only)'!$B$8,0, K7+P7)</f>
        <v>1.495160147413793</v>
      </c>
      <c r="U7" s="53">
        <f>IF(A7&lt;='Params (waterfall only)'!$B$8,0, L7+R7)</f>
        <v>0.45504874051724137</v>
      </c>
      <c r="V7" s="52">
        <f t="shared" si="7"/>
        <v>36.380305698275862</v>
      </c>
      <c r="W7" s="52">
        <f t="shared" si="8"/>
        <v>15.759243300862069</v>
      </c>
      <c r="X7" s="52">
        <f t="shared" si="9"/>
        <v>10.118030569827585</v>
      </c>
      <c r="Y7" s="53">
        <f t="shared" si="10"/>
        <v>11.586206896551724</v>
      </c>
      <c r="Z7" s="53">
        <v>1.45</v>
      </c>
      <c r="AA7" s="52">
        <f>MAX(0, CFADS!I9 - Y7)</f>
        <v>5.2137931034482765</v>
      </c>
      <c r="AB7" s="52">
        <f>0</f>
        <v>0</v>
      </c>
      <c r="AC7" s="52">
        <f>0</f>
        <v>0</v>
      </c>
      <c r="AD7" s="52">
        <f>0</f>
        <v>0</v>
      </c>
      <c r="AE7">
        <v>-15.241</v>
      </c>
      <c r="AF7">
        <v>12.414</v>
      </c>
      <c r="AG7">
        <v>15.241</v>
      </c>
      <c r="AH7">
        <v>-0.56583300000000003</v>
      </c>
      <c r="AI7">
        <v>0.42</v>
      </c>
      <c r="AJ7">
        <v>1.108333</v>
      </c>
    </row>
    <row r="8" spans="1:36" ht="15.75" customHeight="1" x14ac:dyDescent="0.25">
      <c r="A8" s="8">
        <v>7</v>
      </c>
      <c r="B8" s="52">
        <f>IF(A8=1, 'Params (waterfall only)'!$B$2, V7)</f>
        <v>36.380305698275862</v>
      </c>
      <c r="C8" s="52">
        <f>IF(A8=1, 'Params (waterfall only)'!$B$3, W7)</f>
        <v>15.759243300862069</v>
      </c>
      <c r="D8" s="52">
        <f>IF(A8=1, 'Params (waterfall only)'!$B$4, X7)</f>
        <v>10.118030569827585</v>
      </c>
      <c r="E8" s="53">
        <f>B8*'Params (waterfall only)'!$B$5</f>
        <v>2.1828183418965521</v>
      </c>
      <c r="F8" s="53">
        <f>C8*'Params (waterfall only)'!$B$6</f>
        <v>1.3395356805732759</v>
      </c>
      <c r="G8" s="53">
        <f>D8*'Params (waterfall only)'!$B$7</f>
        <v>1.1129833626810344</v>
      </c>
      <c r="H8" s="52">
        <f>IF(A8&lt;='Params (waterfall only)'!$B$8, 0, MIN(CFADS!I10, CFADS!I10/'Params (waterfall only)'!$B$10))</f>
        <v>14.206896551724139</v>
      </c>
      <c r="I8" s="52">
        <f t="shared" si="0"/>
        <v>9.5715591665732767</v>
      </c>
      <c r="J8" s="54">
        <f>MIN(B8, 'Params (waterfall only)'!$B$11*I8)</f>
        <v>6.7000914166012935</v>
      </c>
      <c r="K8" s="54">
        <f>MIN(C8, 'Params (waterfall only)'!$B$12*I8)</f>
        <v>2.2014586083118539</v>
      </c>
      <c r="L8" s="54">
        <f>MIN(D8, 'Params (waterfall only)'!$B$13*I8)</f>
        <v>0.67000914166012948</v>
      </c>
      <c r="M8" s="52">
        <f t="shared" si="1"/>
        <v>0</v>
      </c>
      <c r="N8" s="52">
        <f t="shared" si="2"/>
        <v>0</v>
      </c>
      <c r="O8" s="52">
        <f t="shared" si="3"/>
        <v>0</v>
      </c>
      <c r="P8" s="52">
        <f t="shared" si="4"/>
        <v>0</v>
      </c>
      <c r="Q8" s="52">
        <f t="shared" si="5"/>
        <v>0</v>
      </c>
      <c r="R8" s="52">
        <f t="shared" si="6"/>
        <v>0</v>
      </c>
      <c r="S8" s="53">
        <f>IF(A8&lt;='Params (waterfall only)'!$B$8,0, J8+N8)</f>
        <v>6.7000914166012935</v>
      </c>
      <c r="T8" s="53">
        <f>IF(A8&lt;='Params (waterfall only)'!$B$8,0, K8+P8)</f>
        <v>2.2014586083118539</v>
      </c>
      <c r="U8" s="53">
        <f>IF(A8&lt;='Params (waterfall only)'!$B$8,0, L8+R8)</f>
        <v>0.67000914166012948</v>
      </c>
      <c r="V8" s="52">
        <f t="shared" si="7"/>
        <v>29.680214281674569</v>
      </c>
      <c r="W8" s="52">
        <f t="shared" si="8"/>
        <v>13.557784692550214</v>
      </c>
      <c r="X8" s="52">
        <f t="shared" si="9"/>
        <v>9.4480214281674559</v>
      </c>
      <c r="Y8" s="53">
        <f t="shared" si="10"/>
        <v>14.206896551724137</v>
      </c>
      <c r="Z8" s="53">
        <v>1.450000000032805</v>
      </c>
      <c r="AA8" s="52">
        <f>MAX(0, CFADS!I10 - Y8)</f>
        <v>6.3931034482758644</v>
      </c>
      <c r="AB8" s="52">
        <f>0</f>
        <v>0</v>
      </c>
      <c r="AC8" s="52">
        <f>0</f>
        <v>0</v>
      </c>
      <c r="AD8" s="52">
        <f>0</f>
        <v>0</v>
      </c>
      <c r="AE8">
        <v>-1.379</v>
      </c>
      <c r="AF8">
        <v>0</v>
      </c>
      <c r="AG8">
        <v>16.620999999999999</v>
      </c>
      <c r="AH8">
        <v>-0.57166700000000004</v>
      </c>
      <c r="AI8">
        <v>0.52500000000000002</v>
      </c>
      <c r="AJ8">
        <v>1.155</v>
      </c>
    </row>
    <row r="9" spans="1:36" ht="15.75" customHeight="1" x14ac:dyDescent="0.25">
      <c r="A9" s="8">
        <v>8</v>
      </c>
      <c r="B9" s="52">
        <f>IF(A9=1, 'Params (waterfall only)'!$B$2, V8)</f>
        <v>29.680214281674569</v>
      </c>
      <c r="C9" s="52">
        <f>IF(A9=1, 'Params (waterfall only)'!$B$3, W8)</f>
        <v>13.557784692550214</v>
      </c>
      <c r="D9" s="52">
        <f>IF(A9=1, 'Params (waterfall only)'!$B$4, X8)</f>
        <v>9.4480214281674559</v>
      </c>
      <c r="E9" s="53">
        <f>B9*'Params (waterfall only)'!$B$5</f>
        <v>1.7808128569004742</v>
      </c>
      <c r="F9" s="53">
        <f>C9*'Params (waterfall only)'!$B$6</f>
        <v>1.1524116988667683</v>
      </c>
      <c r="G9" s="53">
        <f>D9*'Params (waterfall only)'!$B$7</f>
        <v>1.0392823570984202</v>
      </c>
      <c r="H9" s="52">
        <f>IF(A9&lt;='Params (waterfall only)'!$B$8, 0, MIN(CFADS!I11, CFADS!I11/'Params (waterfall only)'!$B$10))</f>
        <v>15.482758620689655</v>
      </c>
      <c r="I9" s="52">
        <f t="shared" si="0"/>
        <v>11.510251707823992</v>
      </c>
      <c r="J9" s="54">
        <f>MIN(B9, 'Params (waterfall only)'!$B$11*I9)</f>
        <v>8.057176195476794</v>
      </c>
      <c r="K9" s="54">
        <f>MIN(C9, 'Params (waterfall only)'!$B$12*I9)</f>
        <v>2.6473578927995183</v>
      </c>
      <c r="L9" s="54">
        <f>MIN(D9, 'Params (waterfall only)'!$B$13*I9)</f>
        <v>0.80571761954767951</v>
      </c>
      <c r="M9" s="52">
        <f t="shared" si="1"/>
        <v>0</v>
      </c>
      <c r="N9" s="52">
        <f t="shared" si="2"/>
        <v>0</v>
      </c>
      <c r="O9" s="52">
        <f t="shared" si="3"/>
        <v>0</v>
      </c>
      <c r="P9" s="52">
        <f t="shared" si="4"/>
        <v>0</v>
      </c>
      <c r="Q9" s="52">
        <f t="shared" si="5"/>
        <v>0</v>
      </c>
      <c r="R9" s="52">
        <f t="shared" si="6"/>
        <v>0</v>
      </c>
      <c r="S9" s="53">
        <f>IF(A9&lt;='Params (waterfall only)'!$B$8,0, J9+N9)</f>
        <v>8.057176195476794</v>
      </c>
      <c r="T9" s="53">
        <f>IF(A9&lt;='Params (waterfall only)'!$B$8,0, K9+P9)</f>
        <v>2.6473578927995183</v>
      </c>
      <c r="U9" s="53">
        <f>IF(A9&lt;='Params (waterfall only)'!$B$8,0, L9+R9)</f>
        <v>0.80571761954767951</v>
      </c>
      <c r="V9" s="52">
        <f t="shared" si="7"/>
        <v>21.623038086197774</v>
      </c>
      <c r="W9" s="52">
        <f t="shared" si="8"/>
        <v>10.910426799750695</v>
      </c>
      <c r="X9" s="52">
        <f t="shared" si="9"/>
        <v>8.6423038086197757</v>
      </c>
      <c r="Y9" s="53">
        <f t="shared" si="10"/>
        <v>15.482758620689657</v>
      </c>
      <c r="Z9" s="53">
        <v>1.449999999578838</v>
      </c>
      <c r="AA9" s="52">
        <f>MAX(0, CFADS!I11 - Y9)</f>
        <v>6.9672413793103427</v>
      </c>
      <c r="AB9" s="52">
        <f>0</f>
        <v>0</v>
      </c>
      <c r="AC9" s="52">
        <f>0</f>
        <v>0</v>
      </c>
      <c r="AD9" s="52">
        <f>0</f>
        <v>0</v>
      </c>
      <c r="AE9">
        <v>-0.82799999999999996</v>
      </c>
      <c r="AF9">
        <v>0</v>
      </c>
      <c r="AG9">
        <v>17.448</v>
      </c>
      <c r="AH9">
        <v>-0.77583299999999999</v>
      </c>
      <c r="AI9">
        <v>0.57750000000000001</v>
      </c>
      <c r="AJ9">
        <v>1.3533329999999999</v>
      </c>
    </row>
    <row r="10" spans="1:36" ht="15.75" customHeight="1" x14ac:dyDescent="0.25">
      <c r="A10" s="8">
        <v>9</v>
      </c>
      <c r="B10" s="52">
        <f>IF(A10=1, 'Params (waterfall only)'!$B$2, V9)</f>
        <v>21.623038086197774</v>
      </c>
      <c r="C10" s="52">
        <f>IF(A10=1, 'Params (waterfall only)'!$B$3, W9)</f>
        <v>10.910426799750695</v>
      </c>
      <c r="D10" s="52">
        <f>IF(A10=1, 'Params (waterfall only)'!$B$4, X9)</f>
        <v>8.6423038086197757</v>
      </c>
      <c r="E10" s="53">
        <f>B10*'Params (waterfall only)'!$B$5</f>
        <v>1.2973822851718666</v>
      </c>
      <c r="F10" s="53">
        <f>C10*'Params (waterfall only)'!$B$6</f>
        <v>0.92738627797880913</v>
      </c>
      <c r="G10" s="53">
        <f>D10*'Params (waterfall only)'!$B$7</f>
        <v>0.95065341894817534</v>
      </c>
      <c r="H10" s="52">
        <f>IF(A10&lt;='Params (waterfall only)'!$B$8, 0, MIN(CFADS!I12, CFADS!I12/'Params (waterfall only)'!$B$10))</f>
        <v>16.27586206896552</v>
      </c>
      <c r="I10" s="52">
        <f t="shared" si="0"/>
        <v>13.100440086866669</v>
      </c>
      <c r="J10" s="54">
        <f>MIN(B10, 'Params (waterfall only)'!$B$11*I10)</f>
        <v>9.1703080608066685</v>
      </c>
      <c r="K10" s="54">
        <f>MIN(C10, 'Params (waterfall only)'!$B$12*I10)</f>
        <v>3.0131012199793341</v>
      </c>
      <c r="L10" s="54">
        <f>MIN(D10, 'Params (waterfall only)'!$B$13*I10)</f>
        <v>0.91703080608066689</v>
      </c>
      <c r="M10" s="52">
        <f t="shared" si="1"/>
        <v>0</v>
      </c>
      <c r="N10" s="52">
        <f t="shared" si="2"/>
        <v>0</v>
      </c>
      <c r="O10" s="52">
        <f t="shared" si="3"/>
        <v>0</v>
      </c>
      <c r="P10" s="52">
        <f t="shared" si="4"/>
        <v>0</v>
      </c>
      <c r="Q10" s="52">
        <f t="shared" si="5"/>
        <v>0</v>
      </c>
      <c r="R10" s="52">
        <f t="shared" si="6"/>
        <v>0</v>
      </c>
      <c r="S10" s="53">
        <f>IF(A10&lt;='Params (waterfall only)'!$B$8,0, J10+N10)</f>
        <v>9.1703080608066685</v>
      </c>
      <c r="T10" s="53">
        <f>IF(A10&lt;='Params (waterfall only)'!$B$8,0, K10+P10)</f>
        <v>3.0131012199793341</v>
      </c>
      <c r="U10" s="53">
        <f>IF(A10&lt;='Params (waterfall only)'!$B$8,0, L10+R10)</f>
        <v>0.91703080608066689</v>
      </c>
      <c r="V10" s="52">
        <f t="shared" si="7"/>
        <v>12.452730025391105</v>
      </c>
      <c r="W10" s="52">
        <f t="shared" si="8"/>
        <v>7.8973255797713611</v>
      </c>
      <c r="X10" s="52">
        <f t="shared" si="9"/>
        <v>7.725273002539109</v>
      </c>
      <c r="Y10" s="53">
        <f t="shared" si="10"/>
        <v>16.27586206896552</v>
      </c>
      <c r="Z10" s="53">
        <v>1.4500000001719371</v>
      </c>
      <c r="AA10" s="52">
        <f>MAX(0, CFADS!I12 - Y10)</f>
        <v>7.3241379310344819</v>
      </c>
      <c r="AB10" s="52">
        <f>0</f>
        <v>0</v>
      </c>
      <c r="AC10" s="52">
        <f>0</f>
        <v>0</v>
      </c>
      <c r="AD10" s="52">
        <f>0</f>
        <v>0</v>
      </c>
      <c r="AE10">
        <v>0</v>
      </c>
      <c r="AF10">
        <v>0</v>
      </c>
      <c r="AG10">
        <v>17.448</v>
      </c>
      <c r="AH10">
        <v>-0.84</v>
      </c>
      <c r="AI10">
        <v>0.59499999999999997</v>
      </c>
      <c r="AJ10">
        <v>1.598333</v>
      </c>
    </row>
    <row r="11" spans="1:36" ht="15.75" customHeight="1" x14ac:dyDescent="0.25">
      <c r="A11" s="8">
        <v>10</v>
      </c>
      <c r="B11" s="52">
        <f>IF(A11=1, 'Params (waterfall only)'!$B$2, V10)</f>
        <v>12.452730025391105</v>
      </c>
      <c r="C11" s="52">
        <f>IF(A11=1, 'Params (waterfall only)'!$B$3, W10)</f>
        <v>7.8973255797713611</v>
      </c>
      <c r="D11" s="52">
        <f>IF(A11=1, 'Params (waterfall only)'!$B$4, X10)</f>
        <v>7.725273002539109</v>
      </c>
      <c r="E11" s="53">
        <f>B11*'Params (waterfall only)'!$B$5</f>
        <v>0.7471638015234664</v>
      </c>
      <c r="F11" s="53">
        <f>C11*'Params (waterfall only)'!$B$6</f>
        <v>0.6712726742805657</v>
      </c>
      <c r="G11" s="53">
        <f>D11*'Params (waterfall only)'!$B$7</f>
        <v>0.84978003027930205</v>
      </c>
      <c r="H11" s="52">
        <f>IF(A11&lt;='Params (waterfall only)'!$B$8, 0, MIN(CFADS!I13, CFADS!I13/'Params (waterfall only)'!$B$10))</f>
        <v>14.655172413793103</v>
      </c>
      <c r="I11" s="52">
        <f t="shared" si="0"/>
        <v>12.386955907709769</v>
      </c>
      <c r="J11" s="54">
        <f>MIN(B11, 'Params (waterfall only)'!$B$11*I11)</f>
        <v>8.6708691353968383</v>
      </c>
      <c r="K11" s="54">
        <f>MIN(C11, 'Params (waterfall only)'!$B$12*I11)</f>
        <v>2.8489998587732468</v>
      </c>
      <c r="L11" s="54">
        <f>MIN(D11, 'Params (waterfall only)'!$B$13*I11)</f>
        <v>0.86708691353968392</v>
      </c>
      <c r="M11" s="52">
        <f t="shared" si="1"/>
        <v>0</v>
      </c>
      <c r="N11" s="52">
        <f t="shared" si="2"/>
        <v>0</v>
      </c>
      <c r="O11" s="52">
        <f t="shared" si="3"/>
        <v>0</v>
      </c>
      <c r="P11" s="52">
        <f t="shared" si="4"/>
        <v>0</v>
      </c>
      <c r="Q11" s="52">
        <f t="shared" si="5"/>
        <v>0</v>
      </c>
      <c r="R11" s="52">
        <f t="shared" si="6"/>
        <v>0</v>
      </c>
      <c r="S11" s="53">
        <f>IF(A11&lt;='Params (waterfall only)'!$B$8,0, J11+N11)</f>
        <v>8.6708691353968383</v>
      </c>
      <c r="T11" s="53">
        <f>IF(A11&lt;='Params (waterfall only)'!$B$8,0, K11+P11)</f>
        <v>2.8489998587732468</v>
      </c>
      <c r="U11" s="53">
        <f>IF(A11&lt;='Params (waterfall only)'!$B$8,0, L11+R11)</f>
        <v>0.86708691353968392</v>
      </c>
      <c r="V11" s="52">
        <f t="shared" si="7"/>
        <v>3.7818608899942667</v>
      </c>
      <c r="W11" s="52">
        <f t="shared" si="8"/>
        <v>5.0483257209981147</v>
      </c>
      <c r="X11" s="52">
        <f t="shared" si="9"/>
        <v>6.8581860889994246</v>
      </c>
      <c r="Y11" s="53">
        <f t="shared" si="10"/>
        <v>14.655172413793103</v>
      </c>
      <c r="Z11" s="53">
        <v>1.45</v>
      </c>
      <c r="AA11" s="52">
        <f>MAX(0, CFADS!I13 - Y11)</f>
        <v>6.5948275862068968</v>
      </c>
      <c r="AB11" s="52">
        <f>0</f>
        <v>0</v>
      </c>
      <c r="AC11" s="52">
        <f>0</f>
        <v>0</v>
      </c>
      <c r="AD11" s="52">
        <f>0</f>
        <v>0</v>
      </c>
      <c r="AE11">
        <v>-4.181</v>
      </c>
      <c r="AF11">
        <v>10.923999999999999</v>
      </c>
      <c r="AG11">
        <v>10.706</v>
      </c>
      <c r="AH11">
        <v>-0.89249999999999996</v>
      </c>
      <c r="AI11">
        <v>0.54249999999999998</v>
      </c>
      <c r="AJ11">
        <v>1.9483330000000001</v>
      </c>
    </row>
    <row r="12" spans="1:36" ht="15.75" customHeight="1" x14ac:dyDescent="0.25">
      <c r="A12" s="8">
        <v>11</v>
      </c>
      <c r="B12" s="52">
        <f>IF(A12=1, 'Params (waterfall only)'!$B$2, V11)</f>
        <v>3.7818608899942667</v>
      </c>
      <c r="C12" s="52">
        <f>IF(A12=1, 'Params (waterfall only)'!$B$3, W11)</f>
        <v>5.0483257209981147</v>
      </c>
      <c r="D12" s="52">
        <f>IF(A12=1, 'Params (waterfall only)'!$B$4, X11)</f>
        <v>6.8581860889994246</v>
      </c>
      <c r="E12" s="53">
        <f>B12*'Params (waterfall only)'!$B$5</f>
        <v>0.22691165339965602</v>
      </c>
      <c r="F12" s="53">
        <f>C12*'Params (waterfall only)'!$B$6</f>
        <v>0.42910768628483981</v>
      </c>
      <c r="G12" s="53">
        <f>D12*'Params (waterfall only)'!$B$7</f>
        <v>0.75440046978993669</v>
      </c>
      <c r="H12" s="52">
        <f>IF(A12&lt;='Params (waterfall only)'!$B$8, 0, MIN(CFADS!I14, CFADS!I14/'Params (waterfall only)'!$B$10))</f>
        <v>12.13793103448276</v>
      </c>
      <c r="I12" s="52">
        <f t="shared" si="0"/>
        <v>10.727511225008328</v>
      </c>
      <c r="J12" s="54">
        <f>MIN(B12, 'Params (waterfall only)'!$B$11*I12)</f>
        <v>3.7818608899942667</v>
      </c>
      <c r="K12" s="54">
        <f>MIN(C12, 'Params (waterfall only)'!$B$12*I12)</f>
        <v>2.4673275817519156</v>
      </c>
      <c r="L12" s="54">
        <f>MIN(D12, 'Params (waterfall only)'!$B$13*I12)</f>
        <v>0.750925785750583</v>
      </c>
      <c r="M12" s="52">
        <f t="shared" si="1"/>
        <v>3.727396967511563</v>
      </c>
      <c r="N12" s="52">
        <f t="shared" si="2"/>
        <v>0</v>
      </c>
      <c r="O12" s="52">
        <f t="shared" si="3"/>
        <v>3.727396967511563</v>
      </c>
      <c r="P12" s="52">
        <f t="shared" si="4"/>
        <v>2.5809981392461991</v>
      </c>
      <c r="Q12" s="52">
        <f t="shared" si="5"/>
        <v>1.1463988282653639</v>
      </c>
      <c r="R12" s="52">
        <f t="shared" si="6"/>
        <v>1.1463988282653639</v>
      </c>
      <c r="S12" s="53">
        <f>IF(A12&lt;='Params (waterfall only)'!$B$8,0, J12+N12)</f>
        <v>3.7818608899942667</v>
      </c>
      <c r="T12" s="53">
        <f>IF(A12&lt;='Params (waterfall only)'!$B$8,0, K12+P12)</f>
        <v>5.0483257209981147</v>
      </c>
      <c r="U12" s="53">
        <f>IF(A12&lt;='Params (waterfall only)'!$B$8,0, L12+R12)</f>
        <v>1.8973246140159468</v>
      </c>
      <c r="V12" s="52">
        <f t="shared" si="7"/>
        <v>0</v>
      </c>
      <c r="W12" s="52">
        <f t="shared" si="8"/>
        <v>0</v>
      </c>
      <c r="X12" s="52">
        <f t="shared" si="9"/>
        <v>4.9608614749834778</v>
      </c>
      <c r="Y12" s="53">
        <f t="shared" si="10"/>
        <v>12.137931034482762</v>
      </c>
      <c r="Z12" s="53">
        <v>1.45</v>
      </c>
      <c r="AA12" s="52">
        <f>MAX(0, CFADS!I14 - Y12)</f>
        <v>5.4620689655172399</v>
      </c>
      <c r="AB12" s="52">
        <f>0</f>
        <v>0</v>
      </c>
      <c r="AC12" s="52">
        <f>0</f>
        <v>0</v>
      </c>
      <c r="AD12" s="52">
        <f>0</f>
        <v>0</v>
      </c>
      <c r="AE12">
        <v>0</v>
      </c>
      <c r="AF12">
        <v>0</v>
      </c>
      <c r="AG12">
        <v>10.706</v>
      </c>
      <c r="AH12">
        <v>-0.67083300000000001</v>
      </c>
      <c r="AI12">
        <v>1.19</v>
      </c>
      <c r="AJ12">
        <v>1.4291659999999999</v>
      </c>
    </row>
    <row r="13" spans="1:36" ht="15.75" customHeight="1" x14ac:dyDescent="0.25">
      <c r="A13" s="8">
        <v>12</v>
      </c>
      <c r="B13" s="52">
        <f>IF(A13=1, 'Params (waterfall only)'!$B$2, V12)</f>
        <v>0</v>
      </c>
      <c r="C13" s="52">
        <f>IF(A13=1, 'Params (waterfall only)'!$B$3, W12)</f>
        <v>0</v>
      </c>
      <c r="D13" s="52">
        <f>IF(A13=1, 'Params (waterfall only)'!$B$4, X12)</f>
        <v>4.9608614749834778</v>
      </c>
      <c r="E13" s="53">
        <f>B13*'Params (waterfall only)'!$B$5</f>
        <v>0</v>
      </c>
      <c r="F13" s="53">
        <f>C13*'Params (waterfall only)'!$B$6</f>
        <v>0</v>
      </c>
      <c r="G13" s="53">
        <f>D13*'Params (waterfall only)'!$B$7</f>
        <v>0.54569476224818259</v>
      </c>
      <c r="H13" s="52">
        <f>IF(A13&lt;='Params (waterfall only)'!$B$8, 0, MIN(CFADS!I15, CFADS!I15/'Params (waterfall only)'!$B$10))</f>
        <v>12.03448275862069</v>
      </c>
      <c r="I13" s="52">
        <f t="shared" si="0"/>
        <v>11.488787996372508</v>
      </c>
      <c r="J13" s="54">
        <f>MIN(B13, 'Params (waterfall only)'!$B$11*I13)</f>
        <v>0</v>
      </c>
      <c r="K13" s="54">
        <f>MIN(C13, 'Params (waterfall only)'!$B$12*I13)</f>
        <v>0</v>
      </c>
      <c r="L13" s="54">
        <f>MIN(D13, 'Params (waterfall only)'!$B$13*I13)</f>
        <v>0.80421515974607571</v>
      </c>
      <c r="M13" s="52">
        <f t="shared" si="1"/>
        <v>10.684572836626433</v>
      </c>
      <c r="N13" s="52">
        <f t="shared" si="2"/>
        <v>0</v>
      </c>
      <c r="O13" s="52">
        <f t="shared" si="3"/>
        <v>10.684572836626433</v>
      </c>
      <c r="P13" s="52">
        <f t="shared" si="4"/>
        <v>0</v>
      </c>
      <c r="Q13" s="52">
        <f t="shared" si="5"/>
        <v>10.684572836626433</v>
      </c>
      <c r="R13" s="52">
        <f t="shared" si="6"/>
        <v>4.1566463152374018</v>
      </c>
      <c r="S13" s="53">
        <f>IF(A13&lt;='Params (waterfall only)'!$B$8,0, J13+N13)</f>
        <v>0</v>
      </c>
      <c r="T13" s="53">
        <f>IF(A13&lt;='Params (waterfall only)'!$B$8,0, K13+P13)</f>
        <v>0</v>
      </c>
      <c r="U13" s="53">
        <f>IF(A13&lt;='Params (waterfall only)'!$B$8,0, L13+R13)</f>
        <v>4.9608614749834778</v>
      </c>
      <c r="V13" s="52">
        <f t="shared" si="7"/>
        <v>0</v>
      </c>
      <c r="W13" s="52">
        <f t="shared" si="8"/>
        <v>0</v>
      </c>
      <c r="X13" s="52">
        <f t="shared" si="9"/>
        <v>0</v>
      </c>
      <c r="Y13" s="53">
        <f t="shared" si="10"/>
        <v>5.5065562372316608</v>
      </c>
      <c r="Z13" s="53">
        <f>IF(Y13=0,"", CFADS!I15/Y13)</f>
        <v>3.1689497479413244</v>
      </c>
      <c r="AA13" s="52">
        <f>MAX(0, CFADS!I15 - Y13)</f>
        <v>11.943443762768339</v>
      </c>
      <c r="AB13" s="52">
        <f>0</f>
        <v>0</v>
      </c>
      <c r="AC13" s="52">
        <f>0</f>
        <v>0</v>
      </c>
      <c r="AD13" s="52">
        <f>0</f>
        <v>0</v>
      </c>
      <c r="AE13">
        <v>0</v>
      </c>
      <c r="AF13">
        <v>0</v>
      </c>
      <c r="AG13">
        <v>10.706</v>
      </c>
      <c r="AH13">
        <v>-0.55416699999999997</v>
      </c>
      <c r="AI13">
        <v>0.78749999999999998</v>
      </c>
      <c r="AJ13">
        <v>1.1958329999999999</v>
      </c>
    </row>
    <row r="14" spans="1:36" ht="15.75" customHeight="1" x14ac:dyDescent="0.25">
      <c r="A14" s="8">
        <v>13</v>
      </c>
      <c r="B14" s="52">
        <f>IF(A14=1, 'Params (waterfall only)'!$B$2, V13)</f>
        <v>0</v>
      </c>
      <c r="C14" s="52">
        <f>IF(A14=1, 'Params (waterfall only)'!$B$3, W13)</f>
        <v>0</v>
      </c>
      <c r="D14" s="52">
        <f>IF(A14=1, 'Params (waterfall only)'!$B$4, X13)</f>
        <v>0</v>
      </c>
      <c r="E14" s="53">
        <f>B14*'Params (waterfall only)'!$B$5</f>
        <v>0</v>
      </c>
      <c r="F14" s="53">
        <f>C14*'Params (waterfall only)'!$B$6</f>
        <v>0</v>
      </c>
      <c r="G14" s="53">
        <f>D14*'Params (waterfall only)'!$B$7</f>
        <v>0</v>
      </c>
      <c r="H14" s="52">
        <f>IF(A14&lt;='Params (waterfall only)'!$B$8, 0, MIN(CFADS!I16, CFADS!I16/'Params (waterfall only)'!$B$10))</f>
        <v>10.620689655172415</v>
      </c>
      <c r="I14" s="52">
        <f t="shared" si="0"/>
        <v>10.620689655172415</v>
      </c>
      <c r="J14" s="54">
        <f>MIN(B14, 'Params (waterfall only)'!$B$11*I14)</f>
        <v>0</v>
      </c>
      <c r="K14" s="54">
        <f>MIN(C14, 'Params (waterfall only)'!$B$12*I14)</f>
        <v>0</v>
      </c>
      <c r="L14" s="54">
        <f>MIN(D14, 'Params (waterfall only)'!$B$13*I14)</f>
        <v>0</v>
      </c>
      <c r="M14" s="52">
        <f t="shared" si="1"/>
        <v>10.620689655172415</v>
      </c>
      <c r="N14" s="52">
        <f t="shared" si="2"/>
        <v>0</v>
      </c>
      <c r="O14" s="52">
        <f t="shared" si="3"/>
        <v>10.620689655172415</v>
      </c>
      <c r="P14" s="52">
        <f t="shared" si="4"/>
        <v>0</v>
      </c>
      <c r="Q14" s="52">
        <f t="shared" si="5"/>
        <v>10.620689655172415</v>
      </c>
      <c r="R14" s="52">
        <f t="shared" si="6"/>
        <v>0</v>
      </c>
      <c r="S14" s="53">
        <f>IF(A14&lt;='Params (waterfall only)'!$B$8,0, J14+N14)</f>
        <v>0</v>
      </c>
      <c r="T14" s="53">
        <f>IF(A14&lt;='Params (waterfall only)'!$B$8,0, K14+P14)</f>
        <v>0</v>
      </c>
      <c r="U14" s="53">
        <f>IF(A14&lt;='Params (waterfall only)'!$B$8,0, L14+R14)</f>
        <v>0</v>
      </c>
      <c r="V14" s="52">
        <f t="shared" si="7"/>
        <v>0</v>
      </c>
      <c r="W14" s="52">
        <f t="shared" si="8"/>
        <v>0</v>
      </c>
      <c r="X14" s="52">
        <f t="shared" si="9"/>
        <v>0</v>
      </c>
      <c r="Y14" s="53">
        <f t="shared" si="10"/>
        <v>0</v>
      </c>
      <c r="Z14" s="53" t="str">
        <f>IF(Y14=0,"", CFADS!I16/Y14)</f>
        <v/>
      </c>
      <c r="AA14" s="52">
        <f>MAX(0, CFADS!I16 - Y14)</f>
        <v>15.4</v>
      </c>
      <c r="AB14" s="52">
        <f>0</f>
        <v>0</v>
      </c>
      <c r="AC14" s="52">
        <f>0</f>
        <v>0</v>
      </c>
      <c r="AD14" s="52">
        <f>0</f>
        <v>0</v>
      </c>
      <c r="AE14">
        <v>0</v>
      </c>
      <c r="AF14">
        <v>0</v>
      </c>
      <c r="AG14">
        <v>10.706</v>
      </c>
      <c r="AH14">
        <v>-0.32083299999999998</v>
      </c>
      <c r="AI14">
        <v>0.7</v>
      </c>
      <c r="AJ14">
        <v>0.816666</v>
      </c>
    </row>
    <row r="15" spans="1:36" ht="15.75" customHeight="1" x14ac:dyDescent="0.25">
      <c r="A15" s="55">
        <v>14</v>
      </c>
      <c r="B15" s="52">
        <f>IF(A15=1, 'Params (waterfall only)'!$B$2, V14)</f>
        <v>0</v>
      </c>
      <c r="C15" s="52">
        <f>IF(A15=1, 'Params (waterfall only)'!$B$3, W14)</f>
        <v>0</v>
      </c>
      <c r="D15" s="52">
        <f>IF(A15=1, 'Params (waterfall only)'!$B$4, X14)</f>
        <v>0</v>
      </c>
      <c r="E15" s="53">
        <f>B15*'Params (waterfall only)'!$B$5</f>
        <v>0</v>
      </c>
      <c r="F15" s="53">
        <f>C15*'Params (waterfall only)'!$B$6</f>
        <v>0</v>
      </c>
      <c r="G15" s="53">
        <f>D15*'Params (waterfall only)'!$B$7</f>
        <v>0</v>
      </c>
      <c r="H15" s="52">
        <f>IF(A15&lt;='Params (waterfall only)'!$B$8, 0, MIN(CFADS!I17, CFADS!I17/'Params (waterfall only)'!$B$10))</f>
        <v>9.4482758620689662</v>
      </c>
      <c r="I15" s="52">
        <f t="shared" si="0"/>
        <v>9.4482758620689662</v>
      </c>
      <c r="J15" s="54">
        <f>MIN(B15, 'Params (waterfall only)'!$B$11*I15)</f>
        <v>0</v>
      </c>
      <c r="K15" s="54">
        <f>MIN(C15, 'Params (waterfall only)'!$B$12*I15)</f>
        <v>0</v>
      </c>
      <c r="L15" s="54">
        <f>MIN(D15, 'Params (waterfall only)'!$B$13*I15)</f>
        <v>0</v>
      </c>
      <c r="M15" s="52">
        <f t="shared" si="1"/>
        <v>9.4482758620689662</v>
      </c>
      <c r="N15" s="52">
        <f t="shared" si="2"/>
        <v>0</v>
      </c>
      <c r="O15" s="52">
        <f t="shared" si="3"/>
        <v>9.4482758620689662</v>
      </c>
      <c r="P15" s="52">
        <f t="shared" si="4"/>
        <v>0</v>
      </c>
      <c r="Q15" s="52">
        <f t="shared" si="5"/>
        <v>9.4482758620689662</v>
      </c>
      <c r="R15" s="52">
        <f t="shared" si="6"/>
        <v>0</v>
      </c>
      <c r="S15" s="53">
        <f>IF(A15&lt;='Params (waterfall only)'!$B$8,0, J15+N15)</f>
        <v>0</v>
      </c>
      <c r="T15" s="53">
        <f>IF(A15&lt;='Params (waterfall only)'!$B$8,0, K15+P15)</f>
        <v>0</v>
      </c>
      <c r="U15" s="53">
        <f>IF(A15&lt;='Params (waterfall only)'!$B$8,0, L15+R15)</f>
        <v>0</v>
      </c>
      <c r="V15" s="52">
        <f t="shared" si="7"/>
        <v>0</v>
      </c>
      <c r="W15" s="52">
        <f t="shared" si="8"/>
        <v>0</v>
      </c>
      <c r="X15" s="52">
        <f t="shared" si="9"/>
        <v>0</v>
      </c>
      <c r="Y15" s="53">
        <f t="shared" si="10"/>
        <v>0</v>
      </c>
      <c r="Z15" s="53" t="str">
        <f>IF(Y15=0,"", CFADS!I17/Y15)</f>
        <v/>
      </c>
      <c r="AA15" s="52">
        <f>MAX(0, CFADS!I17 - Y15)</f>
        <v>13.7</v>
      </c>
      <c r="AB15" s="52">
        <f>0</f>
        <v>0</v>
      </c>
      <c r="AC15" s="52">
        <f>0</f>
        <v>0</v>
      </c>
      <c r="AD15" s="52">
        <f>0</f>
        <v>0</v>
      </c>
      <c r="AE15">
        <v>0</v>
      </c>
      <c r="AF15">
        <v>0</v>
      </c>
      <c r="AG15">
        <v>10.706</v>
      </c>
      <c r="AH15">
        <v>-0.14583299999999999</v>
      </c>
      <c r="AI15">
        <v>0.52500000000000002</v>
      </c>
      <c r="AJ15">
        <v>0.43749900000000003</v>
      </c>
    </row>
    <row r="16" spans="1:36" ht="15.75" customHeight="1" x14ac:dyDescent="0.25">
      <c r="A16" s="55">
        <v>15</v>
      </c>
      <c r="B16" s="52">
        <f>IF(A16=1, 'Params (waterfall only)'!$B$2, V15)</f>
        <v>0</v>
      </c>
      <c r="C16" s="52">
        <f>IF(A16=1, 'Params (waterfall only)'!$B$3, W15)</f>
        <v>0</v>
      </c>
      <c r="D16" s="52">
        <f>IF(A16=1, 'Params (waterfall only)'!$B$4, X15)</f>
        <v>0</v>
      </c>
      <c r="E16" s="53">
        <f>B16*'Params (waterfall only)'!$B$5</f>
        <v>0</v>
      </c>
      <c r="F16" s="53">
        <f>C16*'Params (waterfall only)'!$B$6</f>
        <v>0</v>
      </c>
      <c r="G16" s="53">
        <f>D16*'Params (waterfall only)'!$B$7</f>
        <v>0</v>
      </c>
      <c r="H16" s="52">
        <f>IF(A16&lt;='Params (waterfall only)'!$B$8, 0, MIN(CFADS!I18, CFADS!I18/'Params (waterfall only)'!$B$10))</f>
        <v>8.1034482758620694</v>
      </c>
      <c r="I16" s="52">
        <f t="shared" si="0"/>
        <v>8.1034482758620694</v>
      </c>
      <c r="J16" s="54">
        <f>MIN(B16, 'Params (waterfall only)'!$B$11*I16)</f>
        <v>0</v>
      </c>
      <c r="K16" s="54">
        <f>MIN(C16, 'Params (waterfall only)'!$B$12*I16)</f>
        <v>0</v>
      </c>
      <c r="L16" s="54">
        <f>MIN(D16, 'Params (waterfall only)'!$B$13*I16)</f>
        <v>0</v>
      </c>
      <c r="M16" s="52">
        <f t="shared" si="1"/>
        <v>8.1034482758620694</v>
      </c>
      <c r="N16" s="52">
        <f t="shared" si="2"/>
        <v>0</v>
      </c>
      <c r="O16" s="52">
        <f t="shared" si="3"/>
        <v>8.1034482758620694</v>
      </c>
      <c r="P16" s="52">
        <f t="shared" si="4"/>
        <v>0</v>
      </c>
      <c r="Q16" s="52">
        <f t="shared" si="5"/>
        <v>8.1034482758620694</v>
      </c>
      <c r="R16" s="52">
        <f t="shared" si="6"/>
        <v>0</v>
      </c>
      <c r="S16" s="53">
        <f>IF(A16&lt;='Params (waterfall only)'!$B$8,0, J16+N16)</f>
        <v>0</v>
      </c>
      <c r="T16" s="53">
        <v>0</v>
      </c>
      <c r="U16" s="53">
        <f>IF(A16&lt;='Params (waterfall only)'!$B$8,0, L16+R16+AE16)</f>
        <v>0</v>
      </c>
      <c r="V16" s="52">
        <f t="shared" si="7"/>
        <v>0</v>
      </c>
      <c r="W16" s="52">
        <f t="shared" si="8"/>
        <v>0</v>
      </c>
      <c r="X16" s="52">
        <f t="shared" si="9"/>
        <v>0</v>
      </c>
      <c r="Y16" s="53">
        <f t="shared" si="10"/>
        <v>0</v>
      </c>
      <c r="Z16" s="53" t="str">
        <f>IF(Y16=0,"", CFADS!I18/Y16)</f>
        <v/>
      </c>
      <c r="AA16" s="52">
        <f>MAX(0, CFADS!I18 - Y16)</f>
        <v>11.75</v>
      </c>
      <c r="AB16" s="52" t="str">
        <f ca="1">MIN(AB16, B16-S16)</f>
        <v/>
      </c>
      <c r="AC16" s="52" t="str">
        <f ca="1">MIN(AB16-AC16, C16-T16)</f>
        <v/>
      </c>
      <c r="AD16" s="52" t="str">
        <f ca="1">MIN(AB16-AC16-AD16, D16-U16)</f>
        <v/>
      </c>
      <c r="AE16">
        <v>0</v>
      </c>
      <c r="AF16">
        <v>0</v>
      </c>
      <c r="AG16">
        <v>10.706</v>
      </c>
      <c r="AH16">
        <v>0</v>
      </c>
      <c r="AI16">
        <v>0.4375</v>
      </c>
      <c r="AJ16">
        <v>-9.9999999999999995E-7</v>
      </c>
    </row>
    <row r="17" spans="5:26" x14ac:dyDescent="0.2">
      <c r="E17" s="36">
        <f>SUM(E2:E16)</f>
        <v>21.650936525098917</v>
      </c>
      <c r="F17" s="36">
        <f>SUM(F2:F16)</f>
        <v>13.636338311087709</v>
      </c>
      <c r="G17" s="36">
        <f>SUM(G2:G16)</f>
        <v>12.355833125182981</v>
      </c>
      <c r="S17" s="19"/>
      <c r="T17" s="19"/>
      <c r="U17" s="19"/>
      <c r="Y17" s="36">
        <f>SUM(Y2:Y16)</f>
        <v>119.64310796136961</v>
      </c>
      <c r="Z17" s="36">
        <f>AVERAGE(Z2:Z16)</f>
        <v>1.1648402881411981</v>
      </c>
    </row>
    <row r="18" spans="5:26" x14ac:dyDescent="0.2"/>
    <row r="19" spans="5:26" x14ac:dyDescent="0.2">
      <c r="I19" s="49"/>
      <c r="J19" s="49" t="s">
        <v>342</v>
      </c>
      <c r="K19" s="49"/>
      <c r="L19" s="49"/>
      <c r="M19" s="49"/>
      <c r="N19" s="49"/>
      <c r="O19" s="49"/>
    </row>
    <row r="20" spans="5:26" x14ac:dyDescent="0.2">
      <c r="I20" s="49"/>
      <c r="J20" s="49"/>
      <c r="K20" s="49"/>
      <c r="L20" s="49"/>
      <c r="M20" s="49"/>
      <c r="N20" s="49"/>
      <c r="O20" s="49"/>
    </row>
    <row r="21" spans="5:26" x14ac:dyDescent="0.2">
      <c r="I21" s="49"/>
      <c r="J21" s="49" t="s">
        <v>343</v>
      </c>
      <c r="K21" s="49"/>
      <c r="L21" s="49"/>
      <c r="M21" s="49"/>
      <c r="N21" s="49"/>
      <c r="O21" s="49"/>
    </row>
    <row r="22" spans="5:26" x14ac:dyDescent="0.2">
      <c r="I22" s="49"/>
      <c r="J22" s="49"/>
      <c r="K22" s="49"/>
      <c r="L22" s="49"/>
      <c r="M22" s="49"/>
      <c r="N22" s="49"/>
      <c r="O22" s="49"/>
    </row>
    <row r="23" spans="5:26" x14ac:dyDescent="0.2">
      <c r="I23" s="49"/>
      <c r="J23" s="49"/>
      <c r="K23" s="49"/>
      <c r="L23" s="49"/>
      <c r="M23" s="49"/>
      <c r="N23" s="49"/>
      <c r="O23" s="49"/>
    </row>
    <row r="24" spans="5:26" x14ac:dyDescent="0.2">
      <c r="I24" s="49"/>
      <c r="N24" s="49"/>
      <c r="O24" s="49"/>
    </row>
    <row r="25" spans="5:26" x14ac:dyDescent="0.2">
      <c r="I25" s="49"/>
      <c r="N25" s="49"/>
      <c r="O25" s="49"/>
    </row>
    <row r="26" spans="5:26" x14ac:dyDescent="0.2">
      <c r="I26" s="49"/>
      <c r="N26" s="49"/>
      <c r="O26" s="49"/>
    </row>
    <row r="27" spans="5:26" x14ac:dyDescent="0.2">
      <c r="I27" s="49"/>
      <c r="N27" s="49"/>
      <c r="O27" s="49"/>
    </row>
    <row r="28" spans="5:26" x14ac:dyDescent="0.2">
      <c r="I28" s="49"/>
      <c r="N28" s="49"/>
      <c r="O28" s="49"/>
    </row>
    <row r="29" spans="5:26" x14ac:dyDescent="0.2">
      <c r="I29" s="49"/>
      <c r="N29" s="49"/>
      <c r="O29" s="49"/>
    </row>
    <row r="30" spans="5:26" x14ac:dyDescent="0.2">
      <c r="I30" s="49"/>
      <c r="N30" s="49"/>
      <c r="O30" s="49"/>
    </row>
    <row r="31" spans="5:26" x14ac:dyDescent="0.2"/>
    <row r="32" spans="5:26" x14ac:dyDescent="0.2"/>
    <row r="33" spans="10:18" x14ac:dyDescent="0.2"/>
    <row r="34" spans="10:18" x14ac:dyDescent="0.2">
      <c r="J34" s="1" t="s">
        <v>344</v>
      </c>
      <c r="K34" s="1" t="s">
        <v>345</v>
      </c>
      <c r="M34" s="1" t="s">
        <v>346</v>
      </c>
      <c r="O34" s="1"/>
      <c r="P34" s="1"/>
      <c r="R34" s="1" t="s">
        <v>347</v>
      </c>
    </row>
    <row r="35" spans="10:18" ht="12.75" x14ac:dyDescent="0.2">
      <c r="J35" s="8">
        <v>1</v>
      </c>
      <c r="K35" s="8" t="s">
        <v>132</v>
      </c>
      <c r="M35" s="8" t="s">
        <v>348</v>
      </c>
      <c r="O35" s="8"/>
      <c r="P35" s="8"/>
      <c r="R35" s="8" t="s">
        <v>349</v>
      </c>
    </row>
    <row r="36" spans="10:18" ht="12.75" x14ac:dyDescent="0.2">
      <c r="J36" s="8">
        <v>2</v>
      </c>
      <c r="K36" s="8" t="s">
        <v>350</v>
      </c>
      <c r="M36" s="20" t="s">
        <v>351</v>
      </c>
      <c r="O36" s="8"/>
      <c r="P36" s="8"/>
      <c r="R36" s="8" t="s">
        <v>352</v>
      </c>
    </row>
    <row r="37" spans="10:18" ht="12.75" x14ac:dyDescent="0.2">
      <c r="J37" s="8">
        <v>3</v>
      </c>
      <c r="K37" s="8" t="s">
        <v>353</v>
      </c>
      <c r="M37" s="20" t="s">
        <v>354</v>
      </c>
      <c r="O37" s="8"/>
      <c r="P37" s="8"/>
      <c r="R37" s="8" t="s">
        <v>355</v>
      </c>
    </row>
    <row r="38" spans="10:18" ht="12.75" x14ac:dyDescent="0.2">
      <c r="J38" s="8">
        <v>4</v>
      </c>
      <c r="K38" s="8" t="s">
        <v>356</v>
      </c>
      <c r="M38" s="20" t="s">
        <v>357</v>
      </c>
      <c r="O38" s="8"/>
      <c r="P38" s="8"/>
      <c r="R38" s="8" t="s">
        <v>358</v>
      </c>
    </row>
    <row r="39" spans="10:18" ht="12.75" x14ac:dyDescent="0.2">
      <c r="J39" s="8">
        <v>5</v>
      </c>
      <c r="K39" s="8" t="s">
        <v>359</v>
      </c>
      <c r="M39" s="20" t="s">
        <v>360</v>
      </c>
      <c r="O39" s="8"/>
      <c r="P39" s="8"/>
      <c r="R39" s="8" t="s">
        <v>361</v>
      </c>
    </row>
    <row r="40" spans="10:18" ht="12.75" x14ac:dyDescent="0.2">
      <c r="J40" s="8">
        <v>6</v>
      </c>
      <c r="K40" s="8" t="s">
        <v>362</v>
      </c>
      <c r="M40" s="20" t="s">
        <v>363</v>
      </c>
      <c r="O40" s="8"/>
      <c r="P40" s="8"/>
      <c r="R40" s="8" t="s">
        <v>364</v>
      </c>
    </row>
    <row r="41" spans="10:18" ht="12.75" x14ac:dyDescent="0.2">
      <c r="J41" s="8">
        <v>7</v>
      </c>
      <c r="K41" s="8" t="s">
        <v>365</v>
      </c>
      <c r="M41" s="20" t="s">
        <v>366</v>
      </c>
      <c r="O41" s="8"/>
      <c r="P41" s="8"/>
      <c r="R41" s="8" t="s">
        <v>367</v>
      </c>
    </row>
    <row r="42" spans="10:18" ht="12.75" x14ac:dyDescent="0.2"/>
    <row r="43" spans="10:18" ht="12.75" x14ac:dyDescent="0.2"/>
    <row r="44" spans="10:18" ht="15" x14ac:dyDescent="0.2">
      <c r="J44" s="49" t="s">
        <v>368</v>
      </c>
    </row>
    <row r="45" spans="10:18" ht="15" x14ac:dyDescent="0.2">
      <c r="J45" s="49" t="s">
        <v>369</v>
      </c>
    </row>
    <row r="46" spans="10:18" ht="15" x14ac:dyDescent="0.2">
      <c r="J46" s="49" t="s">
        <v>370</v>
      </c>
    </row>
    <row r="47" spans="10:18" ht="15" x14ac:dyDescent="0.2">
      <c r="J47" s="49"/>
    </row>
    <row r="48" spans="10:18" ht="12.75" x14ac:dyDescent="0.2"/>
    <row r="49" spans="10:14" ht="15" x14ac:dyDescent="0.2">
      <c r="J49" s="49" t="s">
        <v>371</v>
      </c>
      <c r="K49" s="49"/>
      <c r="L49" s="49"/>
      <c r="M49" s="49"/>
    </row>
    <row r="50" spans="10:14" ht="15" x14ac:dyDescent="0.2">
      <c r="J50" s="49"/>
      <c r="K50" s="49"/>
      <c r="L50" s="49"/>
      <c r="M50" s="49"/>
    </row>
    <row r="51" spans="10:14" ht="15" x14ac:dyDescent="0.2">
      <c r="J51" s="56" t="s">
        <v>1</v>
      </c>
      <c r="K51" s="56" t="s">
        <v>372</v>
      </c>
      <c r="M51" s="49"/>
      <c r="N51" s="56" t="s">
        <v>373</v>
      </c>
    </row>
    <row r="52" spans="10:14" ht="15" x14ac:dyDescent="0.2">
      <c r="J52" s="49" t="s">
        <v>374</v>
      </c>
      <c r="K52" s="49" t="s">
        <v>375</v>
      </c>
      <c r="M52" s="49"/>
      <c r="N52" s="49" t="s">
        <v>376</v>
      </c>
    </row>
    <row r="53" spans="10:14" ht="15" x14ac:dyDescent="0.2">
      <c r="J53" s="49" t="s">
        <v>377</v>
      </c>
      <c r="K53" s="49" t="s">
        <v>378</v>
      </c>
      <c r="M53" s="49"/>
      <c r="N53" s="49" t="s">
        <v>379</v>
      </c>
    </row>
    <row r="54" spans="10:14" ht="15" x14ac:dyDescent="0.2">
      <c r="J54" s="49" t="s">
        <v>380</v>
      </c>
      <c r="K54" s="49" t="s">
        <v>381</v>
      </c>
      <c r="M54" s="49"/>
      <c r="N54" s="49" t="s">
        <v>382</v>
      </c>
    </row>
    <row r="55" spans="10:14" ht="15" x14ac:dyDescent="0.2">
      <c r="J55" s="49" t="s">
        <v>383</v>
      </c>
      <c r="K55" s="49" t="s">
        <v>384</v>
      </c>
      <c r="M55" s="49"/>
      <c r="N55" s="49" t="s">
        <v>385</v>
      </c>
    </row>
    <row r="56" spans="10:14" ht="15" x14ac:dyDescent="0.2">
      <c r="J56" s="49"/>
      <c r="K56" s="49"/>
      <c r="M56" s="49"/>
      <c r="N56" s="49"/>
    </row>
    <row r="57" spans="10:14" ht="15" x14ac:dyDescent="0.2">
      <c r="J57" s="49" t="s">
        <v>386</v>
      </c>
      <c r="K57" s="49"/>
      <c r="M57" s="49"/>
      <c r="N57" s="49"/>
    </row>
    <row r="58" spans="10:14" ht="15" x14ac:dyDescent="0.2">
      <c r="J58" s="49" t="s">
        <v>387</v>
      </c>
      <c r="K58" s="49"/>
      <c r="M58" s="49"/>
      <c r="N58" s="49"/>
    </row>
  </sheetData>
  <pageMargins left="0.75" right="0.75" top="1" bottom="1" header="0" footer="0"/>
  <pageSetup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FF00"/>
  </sheetPr>
  <dimension ref="A1:B14"/>
  <sheetViews>
    <sheetView workbookViewId="0">
      <selection activeCell="A14" sqref="A14:B14"/>
    </sheetView>
  </sheetViews>
  <sheetFormatPr defaultColWidth="12.5703125" defaultRowHeight="15.75" customHeight="1" x14ac:dyDescent="0.2"/>
  <cols>
    <col min="1" max="1" width="17.42578125" customWidth="1"/>
    <col min="2" max="2" width="12.28515625" customWidth="1"/>
    <col min="3" max="26" width="7.5703125" customWidth="1"/>
  </cols>
  <sheetData>
    <row r="1" spans="1:2" x14ac:dyDescent="0.2">
      <c r="A1" s="51" t="s">
        <v>388</v>
      </c>
      <c r="B1" s="51" t="s">
        <v>389</v>
      </c>
    </row>
    <row r="2" spans="1:2" x14ac:dyDescent="0.2">
      <c r="A2" s="8" t="s">
        <v>390</v>
      </c>
      <c r="B2" s="19">
        <f>'Debt Service'!C29</f>
        <v>43.199999999999996</v>
      </c>
    </row>
    <row r="3" spans="1:2" x14ac:dyDescent="0.2">
      <c r="A3" s="8" t="s">
        <v>391</v>
      </c>
      <c r="B3" s="19">
        <f>'Debt Service'!C30</f>
        <v>18</v>
      </c>
    </row>
    <row r="4" spans="1:2" x14ac:dyDescent="0.2">
      <c r="A4" s="8" t="s">
        <v>392</v>
      </c>
      <c r="B4" s="19">
        <f>'Debt Service'!C31</f>
        <v>10.799999999999999</v>
      </c>
    </row>
    <row r="5" spans="1:2" x14ac:dyDescent="0.2">
      <c r="A5" s="8" t="s">
        <v>393</v>
      </c>
      <c r="B5" s="57">
        <f>Intro!D18</f>
        <v>6.0000000000000005E-2</v>
      </c>
    </row>
    <row r="6" spans="1:2" x14ac:dyDescent="0.2">
      <c r="A6" s="8" t="s">
        <v>394</v>
      </c>
      <c r="B6" s="57">
        <f>Intro!D19</f>
        <v>8.5000000000000006E-2</v>
      </c>
    </row>
    <row r="7" spans="1:2" x14ac:dyDescent="0.2">
      <c r="A7" s="8" t="s">
        <v>395</v>
      </c>
      <c r="B7" s="57">
        <f>Intro!D20</f>
        <v>0.11</v>
      </c>
    </row>
    <row r="8" spans="1:2" x14ac:dyDescent="0.2">
      <c r="A8" s="8" t="s">
        <v>396</v>
      </c>
      <c r="B8" s="19">
        <f>Intro!B23</f>
        <v>4</v>
      </c>
    </row>
    <row r="9" spans="1:2" x14ac:dyDescent="0.2">
      <c r="A9" s="8" t="s">
        <v>397</v>
      </c>
      <c r="B9" s="19">
        <f>Intro!B24</f>
        <v>15</v>
      </c>
    </row>
    <row r="10" spans="1:2" x14ac:dyDescent="0.2">
      <c r="A10" s="8" t="s">
        <v>398</v>
      </c>
      <c r="B10" s="19">
        <v>1.45</v>
      </c>
    </row>
    <row r="11" spans="1:2" x14ac:dyDescent="0.2">
      <c r="A11" s="8" t="s">
        <v>399</v>
      </c>
      <c r="B11" s="19">
        <v>0.7</v>
      </c>
    </row>
    <row r="12" spans="1:2" x14ac:dyDescent="0.2">
      <c r="A12" s="8" t="s">
        <v>400</v>
      </c>
      <c r="B12" s="19">
        <v>0.23</v>
      </c>
    </row>
    <row r="13" spans="1:2" x14ac:dyDescent="0.2">
      <c r="A13" s="8" t="s">
        <v>401</v>
      </c>
      <c r="B13" s="19">
        <v>7.0000000000000007E-2</v>
      </c>
    </row>
    <row r="14" spans="1:2" x14ac:dyDescent="0.2">
      <c r="A14" t="s">
        <v>402</v>
      </c>
      <c r="B14">
        <v>12</v>
      </c>
    </row>
  </sheetData>
  <pageMargins left="0.75" right="0.75" top="1" bottom="1" header="0" footer="0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F00"/>
    <outlinePr summaryBelow="0" summaryRight="0"/>
  </sheetPr>
  <dimension ref="B3:P44"/>
  <sheetViews>
    <sheetView tabSelected="1" workbookViewId="0"/>
  </sheetViews>
  <sheetFormatPr defaultColWidth="12.5703125" defaultRowHeight="15.75" customHeight="1" x14ac:dyDescent="0.2"/>
  <cols>
    <col min="9" max="9" width="16.140625" customWidth="1"/>
    <col min="10" max="10" width="23" customWidth="1"/>
    <col min="11" max="11" width="30.28515625" customWidth="1"/>
    <col min="12" max="12" width="27.42578125" customWidth="1"/>
    <col min="13" max="13" width="28.7109375" customWidth="1"/>
    <col min="15" max="15" width="17.140625" customWidth="1"/>
  </cols>
  <sheetData>
    <row r="3" spans="4:13" x14ac:dyDescent="0.2">
      <c r="D3" s="11" t="s">
        <v>60</v>
      </c>
      <c r="E3" s="11" t="s">
        <v>403</v>
      </c>
      <c r="F3" s="11" t="s">
        <v>404</v>
      </c>
      <c r="G3" s="11" t="s">
        <v>405</v>
      </c>
      <c r="I3" s="1" t="s">
        <v>184</v>
      </c>
      <c r="J3" s="44" t="s">
        <v>406</v>
      </c>
      <c r="K3" s="44" t="s">
        <v>407</v>
      </c>
      <c r="L3" s="44" t="s">
        <v>408</v>
      </c>
      <c r="M3" s="44" t="s">
        <v>409</v>
      </c>
    </row>
    <row r="4" spans="4:13" ht="15.75" customHeight="1" x14ac:dyDescent="0.25">
      <c r="D4" s="6">
        <v>0</v>
      </c>
      <c r="E4" s="58">
        <f>-'Debt Service'!C29</f>
        <v>-43.199999999999996</v>
      </c>
      <c r="F4" s="58">
        <f>-'Debt Service'!C30</f>
        <v>-18</v>
      </c>
      <c r="G4" s="58">
        <f>-'Debt Service'!C31</f>
        <v>-10.799999999999999</v>
      </c>
      <c r="I4" s="8" t="s">
        <v>55</v>
      </c>
      <c r="J4" s="59">
        <f>E4</f>
        <v>-43.199999999999996</v>
      </c>
      <c r="K4" s="19"/>
      <c r="L4" s="19" t="s">
        <v>410</v>
      </c>
      <c r="M4" s="19" t="s">
        <v>411</v>
      </c>
    </row>
    <row r="5" spans="4:13" ht="15.75" customHeight="1" x14ac:dyDescent="0.25">
      <c r="D5" s="6">
        <v>1</v>
      </c>
      <c r="E5" s="58">
        <f>'Debt Service'!D3+'Debt Service'!E3</f>
        <v>2.5920000000000001</v>
      </c>
      <c r="F5" s="58">
        <f>'Debt Service'!F3+'Debt Service'!G3</f>
        <v>1.53</v>
      </c>
      <c r="G5" s="58">
        <f>'Debt Service'!H3+'Debt Service'!I3</f>
        <v>1.1879999999999999</v>
      </c>
      <c r="I5" s="8" t="s">
        <v>198</v>
      </c>
      <c r="J5" s="59">
        <f>F4</f>
        <v>-18</v>
      </c>
      <c r="K5" s="19"/>
      <c r="L5" s="19" t="s">
        <v>412</v>
      </c>
      <c r="M5" s="19" t="s">
        <v>413</v>
      </c>
    </row>
    <row r="6" spans="4:13" ht="15.75" customHeight="1" x14ac:dyDescent="0.25">
      <c r="D6" s="6">
        <v>2</v>
      </c>
      <c r="E6" s="58">
        <f>'Debt Service'!D4+'Debt Service'!E4</f>
        <v>2.5920000000000001</v>
      </c>
      <c r="F6" s="58">
        <f>'Debt Service'!F4+'Debt Service'!G4</f>
        <v>1.53</v>
      </c>
      <c r="G6" s="58">
        <f>'Debt Service'!H4+'Debt Service'!I4</f>
        <v>1.1879999999999999</v>
      </c>
      <c r="I6" s="8" t="s">
        <v>414</v>
      </c>
      <c r="J6" s="59">
        <f>G4</f>
        <v>-10.799999999999999</v>
      </c>
      <c r="K6" s="19"/>
      <c r="L6" s="19" t="s">
        <v>415</v>
      </c>
      <c r="M6" s="19" t="s">
        <v>416</v>
      </c>
    </row>
    <row r="7" spans="4:13" ht="15.75" customHeight="1" x14ac:dyDescent="0.25">
      <c r="D7" s="6">
        <v>3</v>
      </c>
      <c r="E7" s="58">
        <f>'Debt Service'!D5+'Debt Service'!E5</f>
        <v>2.5920000000000001</v>
      </c>
      <c r="F7" s="58">
        <f>'Debt Service'!F5+'Debt Service'!G5</f>
        <v>1.53</v>
      </c>
      <c r="G7" s="58">
        <f>'Debt Service'!H5+'Debt Service'!I5</f>
        <v>1.1879999999999999</v>
      </c>
    </row>
    <row r="8" spans="4:13" ht="15.75" customHeight="1" x14ac:dyDescent="0.25">
      <c r="D8" s="6">
        <v>4</v>
      </c>
      <c r="E8" s="58">
        <f>'Debt Service'!D6+'Debt Service'!E6</f>
        <v>2.5920000000000001</v>
      </c>
      <c r="F8" s="58">
        <f>'Debt Service'!F6+'Debt Service'!G6</f>
        <v>1.53</v>
      </c>
      <c r="G8" s="58">
        <f>'Debt Service'!H6+'Debt Service'!I6</f>
        <v>1.1879999999999999</v>
      </c>
    </row>
    <row r="9" spans="4:13" ht="15.75" customHeight="1" x14ac:dyDescent="0.25">
      <c r="D9" s="6">
        <v>5</v>
      </c>
      <c r="E9" s="58">
        <f>'Debt Service'!D7+'Debt Service'!E7</f>
        <v>4.8612068965517246</v>
      </c>
      <c r="F9" s="58">
        <f>'Debt Service'!F7+'Debt Service'!G7</f>
        <v>2.2755965517241385</v>
      </c>
      <c r="G9" s="58">
        <f>'Debt Service'!H7+'Debt Service'!I7</f>
        <v>1.4149206896551725</v>
      </c>
    </row>
    <row r="10" spans="4:13" ht="15.75" customHeight="1" x14ac:dyDescent="0.25">
      <c r="D10" s="6">
        <v>6</v>
      </c>
      <c r="E10" s="58">
        <f>'Debt Service'!D8+'Debt Service'!E8</f>
        <v>7.00633499137931</v>
      </c>
      <c r="F10" s="58">
        <f>'Debt Service'!F8+'Debt Service'!G8</f>
        <v>2.9617844405172411</v>
      </c>
      <c r="G10" s="58">
        <f>'Debt Service'!H8+'Debt Service'!I8</f>
        <v>1.6180874646551724</v>
      </c>
      <c r="I10" s="1" t="s">
        <v>184</v>
      </c>
      <c r="J10" s="1" t="s">
        <v>417</v>
      </c>
      <c r="K10" s="1" t="s">
        <v>418</v>
      </c>
      <c r="L10" s="1" t="s">
        <v>419</v>
      </c>
      <c r="M10" s="1" t="s">
        <v>189</v>
      </c>
    </row>
    <row r="11" spans="4:13" ht="15.75" customHeight="1" x14ac:dyDescent="0.25">
      <c r="D11" s="6">
        <v>7</v>
      </c>
      <c r="E11" s="58">
        <f>'Debt Service'!D9+'Debt Service'!E9</f>
        <v>8.8829097584978456</v>
      </c>
      <c r="F11" s="58">
        <f>'Debt Service'!F9+'Debt Service'!G9</f>
        <v>3.5409942888851296</v>
      </c>
      <c r="G11" s="58">
        <f>'Debt Service'!H9+'Debt Service'!I9</f>
        <v>1.7829925043411639</v>
      </c>
      <c r="I11" s="8" t="s">
        <v>55</v>
      </c>
      <c r="J11" s="19" t="s">
        <v>420</v>
      </c>
      <c r="K11" s="8" t="s">
        <v>421</v>
      </c>
      <c r="L11" s="8" t="s">
        <v>422</v>
      </c>
      <c r="M11" s="8" t="s">
        <v>423</v>
      </c>
    </row>
    <row r="12" spans="4:13" ht="15.75" customHeight="1" x14ac:dyDescent="0.25">
      <c r="D12" s="6">
        <v>8</v>
      </c>
      <c r="E12" s="58">
        <f>'Debt Service'!D10+'Debt Service'!E10</f>
        <v>9.8379890523772673</v>
      </c>
      <c r="F12" s="58">
        <f>'Debt Service'!F10+'Debt Service'!G10</f>
        <v>3.7997695916662866</v>
      </c>
      <c r="G12" s="58">
        <f>'Debt Service'!H10+'Debt Service'!I10</f>
        <v>1.8449999766460996</v>
      </c>
      <c r="I12" s="8" t="s">
        <v>198</v>
      </c>
      <c r="J12" s="19" t="s">
        <v>424</v>
      </c>
      <c r="K12" s="8" t="s">
        <v>425</v>
      </c>
      <c r="L12" s="8" t="s">
        <v>426</v>
      </c>
      <c r="M12" s="8" t="s">
        <v>427</v>
      </c>
    </row>
    <row r="13" spans="4:13" ht="15.75" customHeight="1" x14ac:dyDescent="0.25">
      <c r="D13" s="6">
        <v>9</v>
      </c>
      <c r="E13" s="58">
        <f>'Debt Service'!D11+'Debt Service'!E11</f>
        <v>10.467690345978536</v>
      </c>
      <c r="F13" s="58">
        <f>'Debt Service'!F11+'Debt Service'!G11</f>
        <v>3.9404874979581432</v>
      </c>
      <c r="G13" s="58">
        <f>'Debt Service'!H11+'Debt Service'!I11</f>
        <v>1.8676842250288423</v>
      </c>
      <c r="I13" s="8" t="s">
        <v>414</v>
      </c>
      <c r="J13" s="19" t="s">
        <v>428</v>
      </c>
      <c r="K13" s="8" t="s">
        <v>429</v>
      </c>
      <c r="L13" s="8" t="s">
        <v>430</v>
      </c>
      <c r="M13" s="8" t="s">
        <v>431</v>
      </c>
    </row>
    <row r="14" spans="4:13" ht="15.75" customHeight="1" x14ac:dyDescent="0.25">
      <c r="D14" s="6">
        <v>10</v>
      </c>
      <c r="E14" s="58">
        <f>'Debt Service'!D12+'Debt Service'!E12</f>
        <v>9.4180329369203051</v>
      </c>
      <c r="F14" s="58">
        <f>'Debt Service'!F12+'Debt Service'!G12</f>
        <v>3.5202725330538125</v>
      </c>
      <c r="G14" s="58">
        <f>'Debt Service'!H12+'Debt Service'!I12</f>
        <v>1.7168669438189861</v>
      </c>
    </row>
    <row r="15" spans="4:13" ht="15.75" customHeight="1" x14ac:dyDescent="0.25">
      <c r="D15" s="6">
        <v>11</v>
      </c>
      <c r="E15" s="58">
        <f>'Debt Service'!D13+'Debt Service'!E13</f>
        <v>4.0087725433939223</v>
      </c>
      <c r="F15" s="58">
        <f>'Debt Service'!F13+'Debt Service'!G13</f>
        <v>5.4774334072829545</v>
      </c>
      <c r="G15" s="58">
        <f>'Debt Service'!H13+'Debt Service'!I13</f>
        <v>2.6517250838058835</v>
      </c>
    </row>
    <row r="16" spans="4:13" ht="15.75" customHeight="1" x14ac:dyDescent="0.25">
      <c r="D16" s="6">
        <v>12</v>
      </c>
      <c r="E16" s="58">
        <f>'Debt Service'!D14+'Debt Service'!E14</f>
        <v>0</v>
      </c>
      <c r="F16" s="58">
        <f>'Debt Service'!F14+'Debt Service'!G14</f>
        <v>0</v>
      </c>
      <c r="G16" s="58">
        <f>'Debt Service'!H14+'Debt Service'!I14</f>
        <v>5.5065562372316608</v>
      </c>
    </row>
    <row r="17" spans="2:11" ht="15.75" customHeight="1" x14ac:dyDescent="0.25">
      <c r="D17" s="6">
        <v>13</v>
      </c>
      <c r="E17" s="58">
        <f>'Debt Service'!D15+'Debt Service'!E15</f>
        <v>0</v>
      </c>
      <c r="F17" s="58">
        <f>'Debt Service'!F15+'Debt Service'!G15</f>
        <v>0</v>
      </c>
      <c r="G17" s="58">
        <f>'Debt Service'!H15+'Debt Service'!I15</f>
        <v>0</v>
      </c>
    </row>
    <row r="18" spans="2:11" ht="15.75" customHeight="1" x14ac:dyDescent="0.25">
      <c r="D18" s="6">
        <v>14</v>
      </c>
      <c r="E18" s="58">
        <f>'Debt Service'!D16+'Debt Service'!E16</f>
        <v>0</v>
      </c>
      <c r="F18" s="58">
        <f>'Debt Service'!F16+'Debt Service'!G16</f>
        <v>0</v>
      </c>
      <c r="G18" s="58">
        <f>'Debt Service'!H16+'Debt Service'!I16</f>
        <v>0</v>
      </c>
      <c r="I18" s="1" t="s">
        <v>248</v>
      </c>
      <c r="J18" s="44" t="s">
        <v>432</v>
      </c>
      <c r="K18" s="1" t="s">
        <v>189</v>
      </c>
    </row>
    <row r="19" spans="2:11" ht="15.75" customHeight="1" x14ac:dyDescent="0.25">
      <c r="D19" s="6">
        <v>15</v>
      </c>
      <c r="E19" s="58">
        <f>'Debt Service'!D17+'Debt Service'!E17</f>
        <v>0</v>
      </c>
      <c r="F19" s="58">
        <f>'Debt Service'!F17+'Debt Service'!G17</f>
        <v>0</v>
      </c>
      <c r="G19" s="58">
        <f>'Debt Service'!H17+'Debt Service'!I17</f>
        <v>0</v>
      </c>
      <c r="I19" s="19" t="s">
        <v>433</v>
      </c>
      <c r="J19" s="19" t="s">
        <v>31</v>
      </c>
      <c r="K19" s="19" t="s">
        <v>434</v>
      </c>
    </row>
    <row r="20" spans="2:11" x14ac:dyDescent="0.2">
      <c r="B20" s="45"/>
      <c r="I20" s="19" t="s">
        <v>435</v>
      </c>
      <c r="J20" s="57">
        <f>1 %</f>
        <v>0.01</v>
      </c>
      <c r="K20" s="19" t="s">
        <v>436</v>
      </c>
    </row>
    <row r="21" spans="2:11" x14ac:dyDescent="0.2">
      <c r="D21" s="60" t="s">
        <v>437</v>
      </c>
      <c r="E21" s="61">
        <f>IRR(E4:E19)</f>
        <v>6.0000000001270593E-2</v>
      </c>
      <c r="F21" s="61">
        <f>IRR(F4:F19)</f>
        <v>8.499999998572072E-2</v>
      </c>
      <c r="G21" s="61">
        <f>IRR(G4:G19)</f>
        <v>0.10999999999897025</v>
      </c>
      <c r="I21" s="19" t="s">
        <v>438</v>
      </c>
      <c r="J21" s="57">
        <f>3.5 %</f>
        <v>3.5000000000000003E-2</v>
      </c>
      <c r="K21" s="19" t="s">
        <v>439</v>
      </c>
    </row>
    <row r="22" spans="2:11" x14ac:dyDescent="0.2">
      <c r="I22" s="19" t="s">
        <v>440</v>
      </c>
      <c r="J22" s="57">
        <f>6 %</f>
        <v>0.06</v>
      </c>
      <c r="K22" s="19" t="s">
        <v>441</v>
      </c>
    </row>
    <row r="23" spans="2:11" x14ac:dyDescent="0.2">
      <c r="I23" s="19" t="s">
        <v>442</v>
      </c>
      <c r="J23" s="19" t="s">
        <v>443</v>
      </c>
      <c r="K23" s="19" t="s">
        <v>444</v>
      </c>
    </row>
    <row r="24" spans="2:11" x14ac:dyDescent="0.2">
      <c r="C24" s="8" t="s">
        <v>445</v>
      </c>
    </row>
    <row r="25" spans="2:11" x14ac:dyDescent="0.2">
      <c r="C25" s="8" t="s">
        <v>446</v>
      </c>
    </row>
    <row r="26" spans="2:11" ht="15.75" customHeight="1" x14ac:dyDescent="0.35">
      <c r="C26" s="8" t="s">
        <v>447</v>
      </c>
      <c r="I26" s="62" t="s">
        <v>448</v>
      </c>
    </row>
    <row r="27" spans="2:11" ht="15.75" customHeight="1" x14ac:dyDescent="0.35">
      <c r="I27" s="62"/>
    </row>
    <row r="28" spans="2:11" x14ac:dyDescent="0.2">
      <c r="I28" s="63" t="s">
        <v>449</v>
      </c>
    </row>
    <row r="29" spans="2:11" x14ac:dyDescent="0.2">
      <c r="I29" s="63" t="s">
        <v>450</v>
      </c>
    </row>
    <row r="30" spans="2:11" x14ac:dyDescent="0.2">
      <c r="I30" s="63"/>
    </row>
    <row r="31" spans="2:11" x14ac:dyDescent="0.2">
      <c r="I31" s="63" t="s">
        <v>451</v>
      </c>
    </row>
    <row r="32" spans="2:11" x14ac:dyDescent="0.2">
      <c r="I32" s="63" t="s">
        <v>452</v>
      </c>
    </row>
    <row r="33" spans="9:16" x14ac:dyDescent="0.2">
      <c r="I33" s="63"/>
    </row>
    <row r="34" spans="9:16" x14ac:dyDescent="0.2">
      <c r="I34" s="63" t="s">
        <v>453</v>
      </c>
    </row>
    <row r="37" spans="9:16" ht="12.75" x14ac:dyDescent="0.2">
      <c r="I37" s="8" t="s">
        <v>454</v>
      </c>
    </row>
    <row r="38" spans="9:16" ht="12.75" x14ac:dyDescent="0.2">
      <c r="I38" s="1" t="s">
        <v>455</v>
      </c>
      <c r="J38" s="44" t="s">
        <v>432</v>
      </c>
      <c r="K38" s="1" t="s">
        <v>456</v>
      </c>
    </row>
    <row r="39" spans="9:16" ht="12.75" x14ac:dyDescent="0.2">
      <c r="I39" s="8" t="s">
        <v>457</v>
      </c>
      <c r="J39" s="45" t="s">
        <v>458</v>
      </c>
      <c r="K39" s="8" t="s">
        <v>459</v>
      </c>
      <c r="M39" s="8" t="s">
        <v>457</v>
      </c>
      <c r="N39" s="45" t="s">
        <v>458</v>
      </c>
      <c r="O39" s="8" t="s">
        <v>460</v>
      </c>
      <c r="P39" s="8" t="s">
        <v>461</v>
      </c>
    </row>
    <row r="40" spans="9:16" ht="12.75" x14ac:dyDescent="0.2">
      <c r="I40" s="8" t="s">
        <v>462</v>
      </c>
      <c r="J40" s="45" t="s">
        <v>463</v>
      </c>
      <c r="K40" s="8" t="s">
        <v>464</v>
      </c>
      <c r="M40" s="8" t="s">
        <v>465</v>
      </c>
      <c r="N40" s="45" t="s">
        <v>463</v>
      </c>
      <c r="O40" s="8" t="s">
        <v>466</v>
      </c>
      <c r="P40" s="8" t="s">
        <v>467</v>
      </c>
    </row>
    <row r="41" spans="9:16" ht="12.75" x14ac:dyDescent="0.2">
      <c r="I41" s="8" t="s">
        <v>468</v>
      </c>
      <c r="J41" s="45" t="s">
        <v>469</v>
      </c>
      <c r="K41" s="8" t="s">
        <v>470</v>
      </c>
      <c r="M41" s="8" t="s">
        <v>471</v>
      </c>
      <c r="N41" s="45" t="s">
        <v>469</v>
      </c>
      <c r="O41" s="8" t="s">
        <v>472</v>
      </c>
      <c r="P41" s="8" t="s">
        <v>473</v>
      </c>
    </row>
    <row r="42" spans="9:16" ht="12.75" x14ac:dyDescent="0.2">
      <c r="J42" s="45"/>
    </row>
    <row r="43" spans="9:16" ht="12.75" x14ac:dyDescent="0.2">
      <c r="J43" s="45"/>
    </row>
    <row r="44" spans="9:16" ht="12.75" x14ac:dyDescent="0.2">
      <c r="J44" s="4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Intro</vt:lpstr>
      <vt:lpstr>CFADS</vt:lpstr>
      <vt:lpstr>Debt Service</vt:lpstr>
      <vt:lpstr>PLCR</vt:lpstr>
      <vt:lpstr>Sculpted_Waterfall</vt:lpstr>
      <vt:lpstr>Params (waterfall only)</vt:lpstr>
      <vt:lpstr>IRR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Ezequiel Campos Soria</cp:lastModifiedBy>
  <dcterms:created xsi:type="dcterms:W3CDTF">2025-11-11T00:00:33Z</dcterms:created>
  <dcterms:modified xsi:type="dcterms:W3CDTF">2025-11-11T04:24:26Z</dcterms:modified>
</cp:coreProperties>
</file>