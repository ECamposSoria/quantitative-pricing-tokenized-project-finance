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Intro" sheetId="1" state="visible" r:id="rId1"/>
    <sheet name="CFADS" sheetId="2" state="visible" r:id="rId2"/>
    <sheet name="Debt Service" sheetId="3" state="visible" r:id="rId3"/>
    <sheet name="PLCR" sheetId="4" state="visible" r:id="rId4"/>
    <sheet name="Sculpted_Waterfall" sheetId="5" state="visible" r:id="rId5"/>
    <sheet name="Params (waterfall only)" sheetId="6" state="visible" r:id="rId6"/>
    <sheet name="IR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3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0"/>
      <sz val="10"/>
      <scheme val="minor"/>
    </font>
    <font>
      <name val="Arial"/>
      <family val="2"/>
      <b val="1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4"/>
      <scheme val="minor"/>
    </font>
    <font>
      <name val="Arial"/>
      <family val="2"/>
      <color rgb="FF000000"/>
      <sz val="11"/>
    </font>
    <font>
      <name val="Arial"/>
      <family val="2"/>
      <b val="1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b val="1"/>
      <color theme="1"/>
      <sz val="18"/>
      <scheme val="minor"/>
    </font>
    <font>
      <name val="Arial"/>
      <family val="2"/>
      <color theme="1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F3F6FA"/>
        <bgColor rgb="FFF3F6FA"/>
      </patternFill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2" borderId="0" pivotButton="0" quotePrefix="0" xfId="0"/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0" pivotButton="0" quotePrefix="0" xfId="0"/>
    <xf numFmtId="9" fontId="3" fillId="2" borderId="0" pivotButton="0" quotePrefix="0" xfId="0"/>
    <xf numFmtId="10" fontId="3" fillId="2" borderId="0" pivotButton="0" quotePrefix="0" xfId="0"/>
    <xf numFmtId="0" fontId="1" fillId="0" borderId="1" applyAlignment="1" pivotButton="0" quotePrefix="0" xfId="0">
      <alignment horizontal="center"/>
    </xf>
    <xf numFmtId="1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2" fontId="3" fillId="8" borderId="0" applyAlignment="1" pivotButton="0" quotePrefix="0" xfId="0">
      <alignment horizontal="center"/>
    </xf>
    <xf numFmtId="0" fontId="9" fillId="0" borderId="0" pivotButton="0" quotePrefix="0" xfId="0"/>
    <xf numFmtId="0" fontId="1" fillId="0" borderId="1" applyAlignment="1" pivotButton="0" quotePrefix="0" xfId="0">
      <alignment horizontal="left"/>
    </xf>
    <xf numFmtId="0" fontId="3" fillId="8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0" fillId="0" borderId="0" pivotButton="0" quotePrefix="0" xfId="0"/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center"/>
    </xf>
    <xf numFmtId="0" fontId="11" fillId="0" borderId="1" pivotButton="0" quotePrefix="0" xfId="0"/>
    <xf numFmtId="0" fontId="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" fillId="9" borderId="3" applyAlignment="1" pivotButton="0" quotePrefix="0" xfId="0">
      <alignment horizontal="center"/>
    </xf>
    <xf numFmtId="2" fontId="14" fillId="0" borderId="0" pivotButton="0" quotePrefix="0" xfId="0"/>
    <xf numFmtId="2" fontId="14" fillId="1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3" fillId="7" borderId="0" pivotButton="0" quotePrefix="0" xfId="0"/>
    <xf numFmtId="0" fontId="12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center"/>
    </xf>
    <xf numFmtId="4" fontId="3" fillId="0" borderId="0" applyAlignment="1" pivotButton="0" quotePrefix="0" xfId="0">
      <alignment horizontal="center"/>
    </xf>
    <xf numFmtId="0" fontId="3" fillId="0" borderId="4" pivotButton="0" quotePrefix="0" xfId="0"/>
    <xf numFmtId="10" fontId="3" fillId="4" borderId="5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CFADS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CFADS!$I$3</f>
              <strCache>
                <ptCount val="1"/>
                <pt idx="0">
                  <v>CFADS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CFADS!$I$4:$I$18</f>
              <numCache>
                <formatCode>General</formatCode>
                <ptCount val="15"/>
                <pt idx="0">
                  <v>-0.6</v>
                </pt>
                <pt idx="1">
                  <v>-1.2</v>
                </pt>
                <pt idx="2">
                  <v>0.3</v>
                </pt>
                <pt idx="3">
                  <v>5</v>
                </pt>
                <pt idx="4">
                  <v>12.4</v>
                </pt>
                <pt idx="5">
                  <v>16.8</v>
                </pt>
                <pt idx="6">
                  <v>20.6</v>
                </pt>
                <pt idx="7">
                  <v>22.45</v>
                </pt>
                <pt idx="8">
                  <v>23.6</v>
                </pt>
                <pt idx="9">
                  <v>21.25</v>
                </pt>
                <pt idx="10">
                  <v>17.6</v>
                </pt>
                <pt idx="11">
                  <v>17.45</v>
                </pt>
                <pt idx="12">
                  <v>15.4</v>
                </pt>
                <pt idx="13">
                  <v>13.7</v>
                </pt>
                <pt idx="14">
                  <v>11.75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0721763"/>
        <axId val="365981445"/>
      </lineChart>
      <catAx>
        <axId val="7072176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365981445"/>
        <crosses val="autoZero"/>
        <auto val="1"/>
        <lblAlgn val="ctr"/>
        <lblOffset val="100"/>
        <noMultiLvlLbl val="1"/>
      </catAx>
      <valAx>
        <axId val="365981445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CFADS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70721763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'Debt Service'!$K$2</f>
              <strCache>
                <ptCount val="1"/>
                <pt idx="0">
                  <v>DSCR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'Debt Service'!$K$3:$K$17</f>
              <numCache>
                <formatCode>0.00</formatCode>
                <ptCount val="15"/>
                <pt idx="0">
                  <v>-0.1129943502824859</v>
                </pt>
                <pt idx="1">
                  <v>-0.2259887005649718</v>
                </pt>
                <pt idx="2">
                  <v>0.05649717514124296</v>
                </pt>
                <pt idx="3">
                  <v>0.9416195856873824</v>
                </pt>
                <pt idx="4">
                  <v>1.449999999988306</v>
                </pt>
                <pt idx="5">
                  <v>1.2</v>
                </pt>
                <pt idx="6">
                  <v>1.200000000032805</v>
                </pt>
                <pt idx="7">
                  <v>1.449999999578838</v>
                </pt>
                <pt idx="8">
                  <v>1.200000000171937</v>
                </pt>
                <pt idx="9">
                  <v>1.2</v>
                </pt>
                <pt idx="10">
                  <v>1.2</v>
                </pt>
                <pt idx="11">
                  <v>3.168949747941324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'Debt Service'!$N$2</f>
              <strCache>
                <ptCount val="1"/>
                <pt idx="0">
                  <v>Objetivo</v>
                </pt>
              </strCache>
            </strRef>
          </tx>
          <spPr>
            <a:ln cmpd="sng">
              <a:solidFill>
                <a:srgbClr val="EA43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'Debt Service'!$N$3:$N$17</f>
              <numCache>
                <formatCode>General</formatCode>
                <ptCount val="15"/>
                <pt idx="0">
                  <v>1.2</v>
                </pt>
                <pt idx="1">
                  <v>1.2</v>
                </pt>
                <pt idx="2">
                  <v>1.2</v>
                </pt>
                <pt idx="3">
                  <v>1.2</v>
                </pt>
                <pt idx="4">
                  <v>1.2</v>
                </pt>
                <pt idx="5">
                  <v>1.2</v>
                </pt>
                <pt idx="6">
                  <v>1.2</v>
                </pt>
                <pt idx="7">
                  <v>1.2</v>
                </pt>
                <pt idx="8">
                  <v>1.2</v>
                </pt>
                <pt idx="9">
                  <v>1.2</v>
                </pt>
                <pt idx="10">
                  <v>1.2</v>
                </pt>
                <pt idx="11">
                  <v>1.2</v>
                </pt>
                <pt idx="12">
                  <v>1.2</v>
                </pt>
                <pt idx="13">
                  <v>1.2</v>
                </pt>
                <pt idx="14">
                  <v>1.2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6446804"/>
        <axId val="548488258"/>
      </lineChart>
      <catAx>
        <axId val="1336446804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548488258"/>
        <crosses val="autoZero"/>
        <auto val="1"/>
        <lblAlgn val="ctr"/>
        <lblOffset val="100"/>
        <noMultiLvlLbl val="1"/>
      </catAx>
      <valAx>
        <axId val="54848825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0.00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336446804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strRef>
              <f>'Debt Service'!$C$2</f>
              <strCache>
                <ptCount val="1"/>
                <pt idx="0">
                  <v>CFADS (USD M)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'Debt Service'!$C$3:$C$17</f>
              <numCache>
                <formatCode>General</formatCode>
                <ptCount val="15"/>
                <pt idx="0">
                  <v>-0.6</v>
                </pt>
                <pt idx="1">
                  <v>-1.2</v>
                </pt>
                <pt idx="2">
                  <v>0.3</v>
                </pt>
                <pt idx="3">
                  <v>5</v>
                </pt>
                <pt idx="4">
                  <v>12.4</v>
                </pt>
                <pt idx="5">
                  <v>16.8</v>
                </pt>
                <pt idx="6">
                  <v>20.6</v>
                </pt>
                <pt idx="7">
                  <v>22.45</v>
                </pt>
                <pt idx="8">
                  <v>23.6</v>
                </pt>
                <pt idx="9">
                  <v>21.25</v>
                </pt>
                <pt idx="10">
                  <v>17.6</v>
                </pt>
                <pt idx="11">
                  <v>17.45</v>
                </pt>
                <pt idx="12">
                  <v>15.4</v>
                </pt>
                <pt idx="13">
                  <v>13.7</v>
                </pt>
                <pt idx="14">
                  <v>11.75</v>
                </pt>
              </numCache>
            </numRef>
          </val>
          <smooth val="0"/>
        </ser>
        <ser>
          <idx val="1"/>
          <order val="1"/>
          <tx>
            <strRef>
              <f>'Debt Service'!$J$2</f>
              <strCache>
                <ptCount val="1"/>
                <pt idx="0">
                  <v>Servicio de
 deuda total (USD M)</v>
                </pt>
              </strCache>
            </strRef>
          </tx>
          <spPr>
            <a:ln cmpd="sng">
              <a:solidFill>
                <a:srgbClr val="EA43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'Debt Service'!$J$3:$J$17</f>
              <numCache>
                <formatCode>0.00</formatCode>
                <ptCount val="15"/>
                <pt idx="0">
                  <v>5.31</v>
                </pt>
                <pt idx="1">
                  <v>5.31</v>
                </pt>
                <pt idx="2">
                  <v>5.31</v>
                </pt>
                <pt idx="3">
                  <v>5.31</v>
                </pt>
                <pt idx="4">
                  <v>8.551724137931036</v>
                </pt>
                <pt idx="5">
                  <v>11.58620689655172</v>
                </pt>
                <pt idx="6">
                  <v>14.20689655172414</v>
                </pt>
                <pt idx="7">
                  <v>15.48275862068965</v>
                </pt>
                <pt idx="8">
                  <v>16.27586206896552</v>
                </pt>
                <pt idx="9">
                  <v>14.6551724137931</v>
                </pt>
                <pt idx="10">
                  <v>12.13793103448276</v>
                </pt>
                <pt idx="11">
                  <v>5.506556237231661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30194849"/>
        <axId val="560022117"/>
      </lineChart>
      <catAx>
        <axId val="113019484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560022117"/>
        <crosses val="autoZero"/>
        <auto val="1"/>
        <lblAlgn val="ctr"/>
        <lblOffset val="100"/>
        <noMultiLvlLbl val="1"/>
      </catAx>
      <valAx>
        <axId val="56002211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  <a:endParaRPr lang="en-US"/>
          </a:p>
        </txPr>
        <crossAx val="1130194849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12 meses del servicio senior anual).
	-Christian Prete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495300</colOff>
      <row>2</row>
      <rowOff>114300</rowOff>
    </from>
    <ext cx="7734300" cy="47815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847725</colOff>
      <row>40</row>
      <rowOff>47625</rowOff>
    </from>
    <ext cx="5715000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10</col>
      <colOff>142875</colOff>
      <row>22</row>
      <rowOff>19050</rowOff>
    </from>
    <ext cx="6372225" cy="39433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9</col>
      <colOff>1438275</colOff>
      <row>18</row>
      <rowOff>66675</rowOff>
    </from>
    <ext cx="5114925" cy="676275"/>
    <pic>
      <nvPicPr>
        <cNvPr id="4" name="image4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13</col>
      <colOff>590550</colOff>
      <row>14</row>
      <rowOff>114300</rowOff>
    </from>
    <ext cx="5534025" cy="3943350"/>
    <pic>
      <nvPicPr>
        <cNvPr id="5" name="image1.png" title="Imag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504825</colOff>
      <row>23</row>
      <rowOff>85725</rowOff>
    </from>
    <ext cx="7181850" cy="1219200"/>
    <pic>
      <nvPicPr>
        <cNvPr id="2" name="image2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180975</colOff>
      <row>22</row>
      <rowOff>133350</rowOff>
    </from>
    <ext cx="6724650" cy="1714500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FF00FF00"/>
    <outlinePr summaryBelow="0" summaryRight="0"/>
    <pageSetUpPr/>
  </sheetPr>
  <dimension ref="A1:F70"/>
  <sheetViews>
    <sheetView workbookViewId="0">
      <selection activeCell="A1" sqref="A1"/>
    </sheetView>
  </sheetViews>
  <sheetFormatPr baseColWidth="8" defaultColWidth="12.5703125" defaultRowHeight="15.75" customHeight="1"/>
  <cols>
    <col width="28.42578125" customWidth="1" min="1" max="1"/>
    <col width="90.140625" customWidth="1" min="2" max="2"/>
    <col width="33.42578125" customWidth="1" min="3" max="3"/>
    <col width="19.5703125" customWidth="1" min="4" max="4"/>
    <col width="9.85546875" customWidth="1" min="5" max="5"/>
    <col width="10.42578125" customWidth="1" min="6" max="6"/>
  </cols>
  <sheetData>
    <row r="1">
      <c r="A1" s="1" t="n"/>
      <c r="B1" s="1" t="n"/>
    </row>
    <row r="2" ht="15.75" customHeight="1">
      <c r="A2" s="2" t="inlineStr">
        <is>
          <t>Buyer Persona del Proyecto (nivel Project Finance Tokenizado)</t>
        </is>
      </c>
      <c r="B2" s="1" t="n"/>
    </row>
    <row r="3">
      <c r="A3" s="1" t="inlineStr">
        <is>
          <t>Elemento</t>
        </is>
      </c>
      <c r="B3" s="1" t="inlineStr">
        <is>
          <t>Descripción</t>
        </is>
      </c>
    </row>
    <row r="4">
      <c r="A4" s="3" t="inlineStr">
        <is>
          <t>Rol</t>
        </is>
      </c>
      <c r="B4" s="4" t="inlineStr">
        <is>
          <t>Sponsor o SPV de constelación satelital IoT</t>
        </is>
      </c>
    </row>
    <row r="5">
      <c r="A5" s="3" t="inlineStr">
        <is>
          <t>Objetivo</t>
        </is>
      </c>
      <c r="B5" s="4" t="inlineStr">
        <is>
          <t>Lanzamiento de 80 satélites IoT + estaciones terrenas (estimado realista 2,3 MUSD/unidad)</t>
        </is>
      </c>
    </row>
    <row r="6">
      <c r="A6" s="3" t="inlineStr">
        <is>
          <t>Horizonte del proyecto</t>
        </is>
      </c>
      <c r="B6" s="5" t="inlineStr">
        <is>
          <t>12 años (3 de gracia + 9 de repago)</t>
        </is>
      </c>
    </row>
    <row r="7">
      <c r="A7" s="3" t="inlineStr">
        <is>
          <t>Necesidad de financiamiento</t>
        </is>
      </c>
      <c r="B7" s="4" t="inlineStr">
        <is>
          <t>USD 90 M (80 % deuda, 20 % equity).</t>
        </is>
      </c>
      <c r="C7" s="6" t="inlineStr">
        <is>
          <t>Deuda (80%)</t>
        </is>
      </c>
      <c r="D7" s="6" t="inlineStr">
        <is>
          <t>Equity (20%)</t>
        </is>
      </c>
    </row>
    <row r="8">
      <c r="A8" s="3" t="inlineStr">
        <is>
          <t>Tipo de deuda</t>
        </is>
      </c>
      <c r="B8" s="3" t="inlineStr">
        <is>
          <t>Project Finance tokenizado con tres tramos: senior, mezzanine y subordinado.</t>
        </is>
      </c>
      <c r="C8" s="7" t="n">
        <v>72</v>
      </c>
      <c r="D8" s="7">
        <f>0.2*90</f>
        <v/>
      </c>
      <c r="E8" s="8" t="inlineStr">
        <is>
          <t>Estructura típica para infraestructura digital emergente</t>
        </is>
      </c>
    </row>
    <row r="9">
      <c r="A9" s="3" t="inlineStr">
        <is>
          <t>Tipo de inversores</t>
        </is>
      </c>
      <c r="B9" s="8" t="inlineStr">
        <is>
          <t>Distribución equilibrada por riesgo y prelación</t>
        </is>
      </c>
    </row>
    <row r="10">
      <c r="A10" s="9" t="n">
        <v>0.6</v>
      </c>
      <c r="B10" s="4" t="inlineStr">
        <is>
          <t>1️⃣ Senior token holders</t>
        </is>
      </c>
      <c r="C10" s="3" t="inlineStr">
        <is>
          <t>Fondos institucionales conservadores (infra funds, aseguradoras). Buscan bajo riesgo, tasa base + 100 bps.</t>
        </is>
      </c>
    </row>
    <row r="11">
      <c r="A11" s="9" t="n">
        <v>0.25</v>
      </c>
      <c r="B11" s="4" t="inlineStr">
        <is>
          <t>2️⃣ Mezzanine token holders</t>
        </is>
      </c>
      <c r="C11" s="3" t="inlineStr">
        <is>
          <t>Fondos de deuda privada o family offices. Aceptan riesgo medio, tasa base + 350 bps.</t>
        </is>
      </c>
    </row>
    <row r="12">
      <c r="A12" s="9" t="n">
        <v>0.15</v>
      </c>
      <c r="B12" s="4" t="inlineStr">
        <is>
          <t>3️⃣ Subordinated token holders</t>
        </is>
      </c>
      <c r="C12" s="3" t="inlineStr">
        <is>
          <t>Inversores alternativos o cripto institucionales (DeFi RWA funds). Aceptan alta volatilidad, tasa base + 600 bps.</t>
        </is>
      </c>
    </row>
    <row r="13">
      <c r="A13" s="3" t="inlineStr">
        <is>
          <t>Flujos esperados</t>
        </is>
      </c>
      <c r="B13" s="3" t="inlineStr">
        <is>
          <t>ARPU bajo pero crecimiento exponencial por adopción IoT (lag comercial).</t>
        </is>
      </c>
    </row>
    <row r="14">
      <c r="A14" s="3" t="inlineStr">
        <is>
          <t>Riesgos clave</t>
        </is>
      </c>
      <c r="B14" s="3" t="inlineStr">
        <is>
          <t>Delay en lanzamiento, fallas satelitales, adopción lenta, inflación de costos de lanzamiento.</t>
        </is>
      </c>
    </row>
    <row r="15">
      <c r="A15" s="3" t="inlineStr">
        <is>
          <t>Mitigadores</t>
        </is>
      </c>
      <c r="B15" s="3" t="inlineStr">
        <is>
          <t>DSRA (12 meses), MRA (50 % del RCAPEX futuro), seguros de lanzamiento, covenant de dividend lock-up DSCR&lt;1.25.</t>
        </is>
      </c>
    </row>
    <row r="16">
      <c r="A16" s="8" t="inlineStr">
        <is>
          <t>Tasa base (SOFR)</t>
        </is>
      </c>
      <c r="B16" s="10" t="inlineStr">
        <is>
          <t>5.0 %</t>
        </is>
      </c>
      <c r="C16" s="8" t="inlineStr">
        <is>
          <t>Coherente con entorno USD actual</t>
        </is>
      </c>
    </row>
    <row r="17">
      <c r="A17" s="8" t="inlineStr">
        <is>
          <t>Spreads por tramo</t>
        </is>
      </c>
      <c r="B17" s="11" t="inlineStr">
        <is>
          <t>Tipo tasa</t>
        </is>
      </c>
      <c r="C17" s="11" t="inlineStr">
        <is>
          <t>Spread</t>
        </is>
      </c>
    </row>
    <row r="18">
      <c r="A18" s="8" t="inlineStr">
        <is>
          <t xml:space="preserve">Senior +1.0 % → 6.0 %;  </t>
        </is>
      </c>
      <c r="B18" s="12" t="n">
        <v>0.05</v>
      </c>
      <c r="C18" s="12" t="n">
        <v>0.01</v>
      </c>
      <c r="D18" s="12">
        <f>B18+C18</f>
        <v/>
      </c>
    </row>
    <row r="19">
      <c r="A19" s="8" t="inlineStr">
        <is>
          <t>Mezz +3.5 % → 8.5 %;</t>
        </is>
      </c>
      <c r="B19" s="12" t="n">
        <v>0.05</v>
      </c>
      <c r="C19" s="12" t="n">
        <v>0.035</v>
      </c>
      <c r="D19" s="12">
        <f>B19+C19</f>
        <v/>
      </c>
    </row>
    <row r="20">
      <c r="A20" s="8" t="inlineStr">
        <is>
          <t>Sub +6 % → 11.0 %</t>
        </is>
      </c>
      <c r="B20" s="12" t="n">
        <v>0.05</v>
      </c>
      <c r="C20" s="12" t="n">
        <v>0.06</v>
      </c>
      <c r="D20" s="12">
        <f>B20+C20</f>
        <v/>
      </c>
    </row>
    <row r="21">
      <c r="A21" s="8" t="inlineStr">
        <is>
          <t>Amortización</t>
        </is>
      </c>
      <c r="B21" s="13" t="inlineStr">
        <is>
          <t>“Sculpted” para mantener DSCR ≈ 1.20 en senior</t>
        </is>
      </c>
      <c r="C21" s="8" t="inlineStr">
        <is>
          <t>“Sculpted” (año 5–12)</t>
        </is>
      </c>
    </row>
    <row r="22">
      <c r="A22" s="8" t="inlineStr">
        <is>
          <t>Sculpted</t>
        </is>
      </c>
    </row>
    <row r="23">
      <c r="A23" s="8" t="inlineStr">
        <is>
          <t>Grace period (anos, solo intereses)</t>
        </is>
      </c>
      <c r="B23" s="13" t="n">
        <v>4</v>
      </c>
      <c r="C23" s="8" t="inlineStr">
        <is>
          <t>Permite alcanzar flujo positivo</t>
        </is>
      </c>
      <c r="D23" s="8" t="inlineStr">
        <is>
          <t>Hasta estabilizar ingresos (fase de commissioning y ramp-up)</t>
        </is>
      </c>
    </row>
    <row r="24">
      <c r="A24" s="8" t="inlineStr">
        <is>
          <t>Vida útil total del proyecto (anos)</t>
        </is>
      </c>
      <c r="B24" s="13" t="n">
        <v>15</v>
      </c>
      <c r="C24" s="8" t="inlineStr">
        <is>
          <t>Incluye reposición año 10–15</t>
        </is>
      </c>
    </row>
    <row r="27">
      <c r="A27" s="14" t="inlineStr">
        <is>
          <t>WACD</t>
        </is>
      </c>
    </row>
    <row r="28">
      <c r="A28" s="15">
        <f>(Intro!D18*'Debt Service'!C29+'Debt Service'!C30*Intro!D19+Intro!D20*'Debt Service'!C31)/Intro!C8</f>
        <v/>
      </c>
      <c r="B28" s="8" t="inlineStr">
        <is>
          <t>WACD 6–8 %</t>
        </is>
      </c>
    </row>
    <row r="29">
      <c r="B29" s="8" t="inlineStr">
        <is>
          <t>Normal digital infra</t>
        </is>
      </c>
    </row>
    <row r="30">
      <c r="A30" s="16" t="inlineStr">
        <is>
          <t>PLCR</t>
        </is>
      </c>
    </row>
    <row r="31">
      <c r="A31" s="17">
        <f>PLCR!F19</f>
        <v/>
      </c>
    </row>
    <row r="32">
      <c r="A32" s="16" t="inlineStr">
        <is>
          <t>LLCR</t>
        </is>
      </c>
    </row>
    <row r="33">
      <c r="A33" s="17">
        <f>PLCR!F21</f>
        <v/>
      </c>
      <c r="B33" s="8" t="inlineStr">
        <is>
          <t>1.25 – 1.40</t>
        </is>
      </c>
    </row>
    <row r="35" ht="12.75" customHeight="1">
      <c r="A35" s="8" t="inlineStr">
        <is>
          <t>IRR</t>
        </is>
      </c>
    </row>
    <row r="36" ht="12.75" customHeight="1">
      <c r="A36" s="16" t="inlineStr">
        <is>
          <t>Senior</t>
        </is>
      </c>
    </row>
    <row r="37" ht="12.75" customHeight="1">
      <c r="A37" s="18">
        <f>IRR!E21</f>
        <v/>
      </c>
    </row>
    <row r="38" ht="12.75" customHeight="1">
      <c r="A38" s="16" t="inlineStr">
        <is>
          <t>Mezz</t>
        </is>
      </c>
    </row>
    <row r="39" ht="12.75" customHeight="1">
      <c r="A39" s="18">
        <f>IRR!F21</f>
        <v/>
      </c>
    </row>
    <row r="40" ht="12.75" customHeight="1">
      <c r="A40" s="16" t="inlineStr">
        <is>
          <t>Sub</t>
        </is>
      </c>
    </row>
    <row r="41" ht="12.75" customHeight="1">
      <c r="A41" s="18">
        <f>IRR!G21</f>
        <v/>
      </c>
    </row>
    <row r="46" ht="16.5" customHeight="1">
      <c r="A46" s="2" t="inlineStr">
        <is>
          <t>Línea Temporal Financiera (“Cash Flow Timeline”)</t>
        </is>
      </c>
    </row>
    <row r="47" ht="12.75" customHeight="1">
      <c r="A47" s="1" t="inlineStr">
        <is>
          <t>Fase</t>
        </is>
      </c>
      <c r="B47" s="1" t="inlineStr">
        <is>
          <t>Año</t>
        </is>
      </c>
      <c r="C47" s="1" t="inlineStr">
        <is>
          <t>Evento</t>
        </is>
      </c>
      <c r="D47" s="1" t="inlineStr">
        <is>
          <t>Desembolso / Flujo</t>
        </is>
      </c>
      <c r="E47" s="1" t="inlineStr">
        <is>
          <t>Observaciones</t>
        </is>
      </c>
    </row>
    <row r="48" ht="12.75" customHeight="1">
      <c r="A48" s="8" t="inlineStr">
        <is>
          <t>I. Ingeniería y Manufactura</t>
        </is>
      </c>
      <c r="B48" s="19" t="inlineStr">
        <is>
          <t>0–2</t>
        </is>
      </c>
      <c r="C48" s="8" t="inlineStr">
        <is>
          <t>Producción 40 satélites</t>
        </is>
      </c>
      <c r="D48" s="8" t="inlineStr">
        <is>
          <t>-USD 90 M</t>
        </is>
      </c>
      <c r="E48" s="8" t="inlineStr">
        <is>
          <t>Deuda + Equity (Drawdwon 1)</t>
        </is>
      </c>
    </row>
    <row r="49" ht="12.75" customHeight="1">
      <c r="A49" s="8" t="inlineStr">
        <is>
          <t>II. Lanzamiento y Puesta en órbita</t>
        </is>
      </c>
      <c r="B49" s="19" t="inlineStr">
        <is>
          <t>2–3</t>
        </is>
      </c>
      <c r="C49" s="8" t="inlineStr">
        <is>
          <t>3 lanzamientos (agrupados)</t>
        </is>
      </c>
      <c r="D49" s="8" t="inlineStr">
        <is>
          <t>-USD 60 M</t>
        </is>
      </c>
      <c r="E49" s="8" t="inlineStr">
        <is>
          <t>Deuda (Drawdown #2), riesgo técnico alto.</t>
        </is>
      </c>
    </row>
    <row r="50" ht="12.75" customHeight="1">
      <c r="A50" s="8" t="inlineStr">
        <is>
          <t>III. Comisión y Operación Inicial</t>
        </is>
      </c>
      <c r="B50" s="19" t="inlineStr">
        <is>
          <t>3–4</t>
        </is>
      </c>
      <c r="C50" s="8" t="inlineStr">
        <is>
          <t>Validación + primeros contratos IoT</t>
        </is>
      </c>
      <c r="D50" s="8" t="inlineStr">
        <is>
          <t>-USD 20 M</t>
        </is>
      </c>
      <c r="E50" s="8" t="inlineStr">
        <is>
          <t>CFADS ≈ 0 → sólo intereses (grace period).</t>
        </is>
      </c>
      <c r="F50" s="8" t="inlineStr">
        <is>
          <t xml:space="preserve">Incluido en CAPEX total (IDC </t>
        </is>
      </c>
    </row>
    <row r="51" ht="12.75" customHeight="1">
      <c r="A51" s="8" t="inlineStr">
        <is>
          <t>IV. Ramp-up comercial</t>
        </is>
      </c>
      <c r="B51" s="19" t="inlineStr">
        <is>
          <t>4–6</t>
        </is>
      </c>
      <c r="C51" s="8" t="inlineStr">
        <is>
          <t>Adopción de mercado + Rampa Comercial</t>
        </is>
      </c>
      <c r="D51" s="20" t="inlineStr">
        <is>
          <t>+USD 25–40 M/año</t>
        </is>
      </c>
      <c r="E51" s="8" t="inlineStr">
        <is>
          <t>Comienza a generarse CFADS positivo. Fin del grace period. Amortización “sculpted” para DSCR ≈ 1.25.</t>
        </is>
      </c>
    </row>
    <row r="52" ht="12.75" customHeight="1">
      <c r="A52" s="8" t="inlineStr">
        <is>
          <t>V. Operación plena</t>
        </is>
      </c>
      <c r="B52" s="19" t="inlineStr">
        <is>
          <t>6–10</t>
        </is>
      </c>
      <c r="C52" s="8" t="inlineStr">
        <is>
          <t>Saturación de constelación</t>
        </is>
      </c>
      <c r="D52" s="20" t="inlineStr">
        <is>
          <t>+USD 50–60 M/año</t>
        </is>
      </c>
      <c r="E52" s="8" t="inlineStr">
        <is>
          <t>Flujo estable, repago total del principal - DSCR 1.25</t>
        </is>
      </c>
    </row>
    <row r="53" ht="12.75" customHeight="1">
      <c r="A53" s="21" t="inlineStr">
        <is>
          <t>rcapex_1</t>
        </is>
      </c>
      <c r="B53" s="22" t="n">
        <v>6</v>
      </c>
      <c r="C53" s="21" t="inlineStr">
        <is>
          <t>Reposición parcial I</t>
        </is>
      </c>
      <c r="D53" s="8" t="inlineStr">
        <is>
          <t>-USD 20 M</t>
        </is>
      </c>
      <c r="E53" s="21" t="inlineStr">
        <is>
          <t>MRA 10 + cash 10</t>
        </is>
      </c>
    </row>
    <row r="54" ht="12.75" customHeight="1">
      <c r="A54" s="8" t="inlineStr">
        <is>
          <t>VI. Reposición satelital (RCAPEX)</t>
        </is>
      </c>
      <c r="B54" s="19" t="inlineStr">
        <is>
          <t>8–10</t>
        </is>
      </c>
      <c r="C54" s="8" t="inlineStr">
        <is>
          <t>Sustitución parcial de satélites</t>
        </is>
      </c>
      <c r="D54" s="8" t="inlineStr">
        <is>
          <t>-USD 15 M/año</t>
        </is>
      </c>
      <c r="E54" s="8" t="inlineStr">
        <is>
          <t>Cubierto con MRA + Cash Sweep.</t>
        </is>
      </c>
    </row>
    <row r="55" ht="12.75" customHeight="1">
      <c r="A55" s="8" t="inlineStr">
        <is>
          <t>VII. Decommissioning</t>
        </is>
      </c>
      <c r="B55" s="19" t="inlineStr">
        <is>
          <t>11–12</t>
        </is>
      </c>
      <c r="C55" s="8" t="inlineStr">
        <is>
          <t>Fin de vida</t>
        </is>
      </c>
      <c r="D55" s="20" t="inlineStr">
        <is>
          <t>+USD 10 M (residual)</t>
        </is>
      </c>
      <c r="E55" s="8" t="inlineStr">
        <is>
          <t>Dividendos finales a equity.</t>
        </is>
      </c>
    </row>
    <row r="60" ht="16.5" customHeight="1">
      <c r="A60" s="2" t="inlineStr">
        <is>
          <t>Implicancias en la Estructura Financiera</t>
        </is>
      </c>
    </row>
    <row r="61" ht="12.75" customHeight="1">
      <c r="A61" s="1" t="inlineStr">
        <is>
          <t>Parámetro</t>
        </is>
      </c>
      <c r="B61" s="1" t="inlineStr">
        <is>
          <t>Lógica derivada del Buyer Persona / Timeline</t>
        </is>
      </c>
    </row>
    <row r="62" ht="12.75" customHeight="1">
      <c r="A62" s="8" t="inlineStr">
        <is>
          <t>Periodo de gracia (Grace Period)</t>
        </is>
      </c>
      <c r="B62" s="8" t="inlineStr">
        <is>
          <t>3 años (coincide con la construcción y commissioning). Sólo intereses, sin amortización.</t>
        </is>
      </c>
    </row>
    <row r="63" ht="12.75" customHeight="1">
      <c r="A63" s="8" t="inlineStr">
        <is>
          <t>Amortización</t>
        </is>
      </c>
      <c r="B63" s="8" t="inlineStr">
        <is>
          <t>8 años posteriores, “sculpted” para mantener DSCR ≈ 1.25–1.30.</t>
        </is>
      </c>
    </row>
    <row r="64" ht="12.75" customHeight="1">
      <c r="A64" s="8" t="inlineStr">
        <is>
          <t>Duración total del préstamo</t>
        </is>
      </c>
      <c r="B64" s="8" t="inlineStr">
        <is>
          <t>11 años (3 + 8).</t>
        </is>
      </c>
    </row>
    <row r="65" ht="12.75" customHeight="1">
      <c r="A65" s="8" t="inlineStr">
        <is>
          <t>DSRA objetivo</t>
        </is>
      </c>
      <c r="B65" s="8" t="inlineStr">
        <is>
          <t>12 meses del servicio de deuda senior.</t>
        </is>
      </c>
    </row>
    <row r="66" ht="12.75" customHeight="1">
      <c r="A66" s="8" t="inlineStr">
        <is>
          <t>MRA objetivo</t>
        </is>
      </c>
      <c r="B66" s="8" t="inlineStr">
        <is>
          <t>50 % del próximo RCAPEX (año 8).</t>
        </is>
      </c>
    </row>
    <row r="67" ht="12.75" customHeight="1">
      <c r="A67" s="8" t="inlineStr">
        <is>
          <t>Inicio de repago</t>
        </is>
      </c>
      <c r="B67" s="8" t="inlineStr">
        <is>
          <t>Año 4 (cuando CFADS positivo supera intereses).</t>
        </is>
      </c>
    </row>
    <row r="68" ht="12.75" customHeight="1">
      <c r="A68" s="8" t="inlineStr">
        <is>
          <t>Dividend lock-up</t>
        </is>
      </c>
      <c r="B68" s="8" t="inlineStr">
        <is>
          <t>DSCR &lt; 1.25 → dividendos bloqueados automáticamente por smart contract.</t>
        </is>
      </c>
    </row>
    <row r="69" ht="12.75" customHeight="1">
      <c r="A69" s="8" t="inlineStr">
        <is>
          <t>Evento de default técnico</t>
        </is>
      </c>
      <c r="B69" s="8" t="inlineStr">
        <is>
          <t>DSCR &lt; 1.0 durante dos períodos consecutivos.</t>
        </is>
      </c>
    </row>
    <row r="70" ht="12.75" customHeight="1">
      <c r="A70" s="8" t="inlineStr">
        <is>
          <t>Financiamiento inicial</t>
        </is>
      </c>
      <c r="B70" s="8" t="inlineStr">
        <is>
          <t>Todo el capital (deuda + equity) desembolsado antes del lanzamiento → la SPV recibe la deuda completa desde el inicio, en desembolsos escalonados según hitos.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FF00"/>
    <outlinePr summaryBelow="0" summaryRight="0"/>
    <pageSetUpPr/>
  </sheetPr>
  <dimension ref="A2:J19"/>
  <sheetViews>
    <sheetView workbookViewId="0">
      <selection activeCell="I8" sqref="I8"/>
    </sheetView>
  </sheetViews>
  <sheetFormatPr baseColWidth="8" defaultColWidth="12.5703125" defaultRowHeight="15.75" customHeight="1"/>
  <cols>
    <col width="48.140625" customWidth="1" min="1" max="1"/>
    <col width="12" customWidth="1" min="3" max="3"/>
    <col width="4.5703125" customWidth="1" min="4" max="4"/>
    <col width="15.140625" customWidth="1" min="5" max="5"/>
    <col width="16.7109375" customWidth="1" min="6" max="6"/>
    <col width="7.28515625" customWidth="1" min="7" max="7"/>
    <col width="12.42578125" customWidth="1" min="8" max="8"/>
    <col width="31.42578125" customWidth="1" min="10" max="10"/>
  </cols>
  <sheetData>
    <row r="2" ht="15.75" customHeight="1">
      <c r="A2" s="8" t="inlineStr">
        <is>
          <t>Horizonte: 15 años</t>
        </is>
      </c>
      <c r="I2" s="23" t="inlineStr">
        <is>
          <t>CFADS = Revenue – OPEX – Maintenance – ΔWC – Tax – RCAPEX</t>
        </is>
      </c>
    </row>
    <row r="3">
      <c r="A3" s="8" t="inlineStr">
        <is>
          <t>CAPEX total: 90 MUSD</t>
        </is>
      </c>
      <c r="B3" s="11" t="inlineStr">
        <is>
          <t>Año</t>
        </is>
      </c>
      <c r="C3" s="24" t="inlineStr">
        <is>
          <t>revenue_gross</t>
        </is>
      </c>
      <c r="D3" s="24" t="inlineStr">
        <is>
          <t>opex</t>
        </is>
      </c>
      <c r="E3" s="24" t="inlineStr">
        <is>
          <t>maintenance_opex</t>
        </is>
      </c>
      <c r="F3" s="24" t="inlineStr">
        <is>
          <t>working_cap_change</t>
        </is>
      </c>
      <c r="G3" s="24" t="inlineStr">
        <is>
          <t>tax_paid</t>
        </is>
      </c>
      <c r="H3" s="24" t="inlineStr">
        <is>
          <t>rcapex_amount</t>
        </is>
      </c>
      <c r="I3" s="25" t="inlineStr">
        <is>
          <t>CFADS</t>
        </is>
      </c>
    </row>
    <row r="4" ht="15.75" customHeight="1">
      <c r="A4" s="8" t="inlineStr">
        <is>
          <t>Ramp-up: 3 años hasta punto de equilibrio (año 5)</t>
        </is>
      </c>
      <c r="B4" s="6" t="n">
        <v>1</v>
      </c>
      <c r="C4" s="6" t="n">
        <v>0</v>
      </c>
      <c r="D4" s="6" t="n">
        <v>0.6</v>
      </c>
      <c r="E4" s="6" t="n">
        <v>0</v>
      </c>
      <c r="F4" s="6" t="n">
        <v>0</v>
      </c>
      <c r="G4" s="6" t="n">
        <v>0</v>
      </c>
      <c r="H4" s="6" t="n">
        <v>0</v>
      </c>
      <c r="I4" s="26">
        <f>-0.6-H4</f>
        <v/>
      </c>
      <c r="J4" s="8" t="inlineStr">
        <is>
          <t>Fase 1: fabricación y despliegue (parcial)</t>
        </is>
      </c>
    </row>
    <row r="5" ht="15.75" customHeight="1">
      <c r="A5" s="8" t="inlineStr">
        <is>
          <t>Margen operativo bruto (EBITDA/revenue): 45–50% en régimen</t>
        </is>
      </c>
      <c r="B5" s="6" t="n">
        <v>2</v>
      </c>
      <c r="C5" s="6" t="n">
        <v>0</v>
      </c>
      <c r="D5" s="6" t="n">
        <v>1.2</v>
      </c>
      <c r="E5" s="6" t="n">
        <v>0</v>
      </c>
      <c r="F5" s="6" t="n">
        <v>0</v>
      </c>
      <c r="G5" s="6" t="n">
        <v>0</v>
      </c>
      <c r="H5" s="6" t="n">
        <v>0</v>
      </c>
      <c r="I5" s="26" t="n">
        <v>-1.2</v>
      </c>
      <c r="J5" s="8" t="inlineStr">
        <is>
          <t>Fase 2: commissioning</t>
        </is>
      </c>
    </row>
    <row r="6" ht="15.75" customHeight="1">
      <c r="A6" s="8" t="inlineStr">
        <is>
          <t>RCAPEX: Reposición cada 5 años (~20–30 MUSD)</t>
        </is>
      </c>
      <c r="B6" s="6" t="n">
        <v>3</v>
      </c>
      <c r="C6" s="6" t="n">
        <v>3</v>
      </c>
      <c r="D6" s="6" t="n">
        <v>2.4</v>
      </c>
      <c r="E6" s="6" t="n">
        <v>0.1</v>
      </c>
      <c r="F6" s="6" t="n">
        <v>0.2</v>
      </c>
      <c r="G6" s="6" t="n">
        <v>0</v>
      </c>
      <c r="H6" s="6" t="n">
        <v>0</v>
      </c>
      <c r="I6" s="26" t="n">
        <v>0.3</v>
      </c>
      <c r="J6" s="8" t="inlineStr">
        <is>
          <t>Inicio servicio beta</t>
        </is>
      </c>
    </row>
    <row r="7" ht="15.75" customHeight="1">
      <c r="A7" s="8" t="inlineStr">
        <is>
          <t>Impuesto efectivo: 25–30%</t>
        </is>
      </c>
      <c r="B7" s="6" t="n">
        <v>4</v>
      </c>
      <c r="C7" s="6" t="n">
        <v>10</v>
      </c>
      <c r="D7" s="6" t="n">
        <v>4.5</v>
      </c>
      <c r="E7" s="6" t="n">
        <v>0.2</v>
      </c>
      <c r="F7" s="6" t="n">
        <v>0.3</v>
      </c>
      <c r="G7" s="6" t="n">
        <v>0</v>
      </c>
      <c r="H7" s="6" t="n">
        <v>0</v>
      </c>
      <c r="I7" s="26" t="n">
        <v>5</v>
      </c>
      <c r="J7" s="8" t="inlineStr">
        <is>
          <t>Ingresos recurrentes crecen</t>
        </is>
      </c>
    </row>
    <row r="8" ht="15.75" customHeight="1">
      <c r="A8" s="8" t="inlineStr">
        <is>
          <t>Δ Working Capital: 1–2% de revenue (en crecimiento)</t>
        </is>
      </c>
      <c r="B8" s="6" t="n">
        <v>5</v>
      </c>
      <c r="C8" s="6" t="n">
        <v>20</v>
      </c>
      <c r="D8" s="6" t="n">
        <v>6.5</v>
      </c>
      <c r="E8" s="6" t="n">
        <v>0.3</v>
      </c>
      <c r="F8" s="6" t="n">
        <v>0.5</v>
      </c>
      <c r="G8" s="6" t="n">
        <v>0.3</v>
      </c>
      <c r="H8" s="6" t="n">
        <v>0</v>
      </c>
      <c r="I8" s="26" t="n">
        <v>12.4</v>
      </c>
      <c r="J8" s="8" t="inlineStr">
        <is>
          <t>Break-even operativo</t>
        </is>
      </c>
    </row>
    <row r="9" ht="15.75" customHeight="1">
      <c r="B9" s="6" t="n">
        <v>6</v>
      </c>
      <c r="C9" s="6" t="n">
        <v>28</v>
      </c>
      <c r="D9" s="6" t="n">
        <v>8.5</v>
      </c>
      <c r="E9" s="6" t="n">
        <v>0.4</v>
      </c>
      <c r="F9" s="6" t="n">
        <v>0.5</v>
      </c>
      <c r="G9" s="6" t="n">
        <v>0.6</v>
      </c>
      <c r="H9" s="6" t="n">
        <v>1.2</v>
      </c>
      <c r="I9" s="26" t="n">
        <v>16.8</v>
      </c>
      <c r="J9" s="8" t="inlineStr">
        <is>
          <t>Cobertura global completa</t>
        </is>
      </c>
    </row>
    <row r="10" ht="15.75" customHeight="1">
      <c r="B10" s="6" t="n">
        <v>7</v>
      </c>
      <c r="C10" s="6" t="n">
        <v>34</v>
      </c>
      <c r="D10" s="6" t="n">
        <v>10</v>
      </c>
      <c r="E10" s="6" t="n">
        <v>0.5</v>
      </c>
      <c r="F10" s="6" t="n">
        <v>0.5</v>
      </c>
      <c r="G10" s="6" t="n">
        <v>0.9</v>
      </c>
      <c r="H10" s="6" t="n">
        <v>1.5</v>
      </c>
      <c r="I10" s="26" t="n">
        <v>20.6</v>
      </c>
      <c r="J10" s="8" t="inlineStr">
        <is>
          <t>Madurez operativa</t>
        </is>
      </c>
    </row>
    <row r="11" ht="15.75" customHeight="1">
      <c r="B11" s="6" t="n">
        <v>8</v>
      </c>
      <c r="C11" s="6" t="n">
        <v>38</v>
      </c>
      <c r="D11" s="6" t="n">
        <v>11.5</v>
      </c>
      <c r="E11" s="6" t="n">
        <v>0.6</v>
      </c>
      <c r="F11" s="6" t="n">
        <v>0.6</v>
      </c>
      <c r="G11" s="6" t="n">
        <v>1.2</v>
      </c>
      <c r="H11" s="6" t="n">
        <v>1.65</v>
      </c>
      <c r="I11" s="26" t="n">
        <v>22.45</v>
      </c>
      <c r="J11" s="8" t="inlineStr">
        <is>
          <t>Margen máximo</t>
        </is>
      </c>
    </row>
    <row r="12" ht="15.75" customHeight="1">
      <c r="B12" s="6" t="n">
        <v>9</v>
      </c>
      <c r="C12" s="6" t="n">
        <v>40</v>
      </c>
      <c r="D12" s="6" t="n">
        <v>12</v>
      </c>
      <c r="E12" s="6" t="n">
        <v>0.7</v>
      </c>
      <c r="F12" s="6" t="n">
        <v>0.6</v>
      </c>
      <c r="G12" s="6" t="n">
        <v>1.4</v>
      </c>
      <c r="H12" s="6" t="n">
        <v>1.7</v>
      </c>
      <c r="I12" s="26" t="n">
        <v>23.6</v>
      </c>
      <c r="J12" s="8" t="inlineStr">
        <is>
          <t>Estabilización de demanda</t>
        </is>
      </c>
    </row>
    <row r="13" ht="15.75" customHeight="1">
      <c r="B13" s="6" t="n">
        <v>10</v>
      </c>
      <c r="C13" s="6" t="n">
        <v>38</v>
      </c>
      <c r="D13" s="6" t="n">
        <v>12</v>
      </c>
      <c r="E13" s="6" t="n">
        <v>1.2</v>
      </c>
      <c r="F13" s="6" t="n">
        <v>0.6</v>
      </c>
      <c r="G13" s="6" t="n">
        <v>1.4</v>
      </c>
      <c r="H13" s="6" t="n">
        <v>1.55</v>
      </c>
      <c r="I13" s="26" t="n">
        <v>21.25</v>
      </c>
      <c r="J13" s="8" t="inlineStr">
        <is>
          <t>Inicio fase reposiciones</t>
        </is>
      </c>
    </row>
    <row r="14" ht="15.75" customHeight="1">
      <c r="B14" s="6" t="n">
        <v>11</v>
      </c>
      <c r="C14" s="6" t="n">
        <v>35</v>
      </c>
      <c r="D14" s="6" t="n">
        <v>11.5</v>
      </c>
      <c r="E14" s="6" t="n">
        <v>0.8</v>
      </c>
      <c r="F14" s="6" t="n">
        <v>0.5</v>
      </c>
      <c r="G14" s="6" t="n">
        <v>1.2</v>
      </c>
      <c r="H14" s="6" t="n">
        <v>3.4</v>
      </c>
      <c r="I14" s="26" t="n">
        <v>17.6</v>
      </c>
      <c r="J14" s="8" t="inlineStr">
        <is>
          <t>Saturación de mercado</t>
        </is>
      </c>
    </row>
    <row r="15" ht="15.75" customHeight="1">
      <c r="B15" s="6" t="n">
        <v>12</v>
      </c>
      <c r="C15" s="6" t="n">
        <v>33</v>
      </c>
      <c r="D15" s="6" t="n">
        <v>11</v>
      </c>
      <c r="E15" s="6" t="n">
        <v>0.8</v>
      </c>
      <c r="F15" s="6" t="n">
        <v>0.4</v>
      </c>
      <c r="G15" s="6" t="n">
        <v>1.1</v>
      </c>
      <c r="H15" s="6" t="n">
        <v>2.25</v>
      </c>
      <c r="I15" s="26" t="n">
        <v>17.45</v>
      </c>
      <c r="J15" s="8" t="inlineStr">
        <is>
          <t>Fin del repago</t>
        </is>
      </c>
    </row>
    <row r="16" ht="15.75" customHeight="1">
      <c r="B16" s="6" t="n">
        <v>13</v>
      </c>
      <c r="C16" s="6" t="n">
        <v>30</v>
      </c>
      <c r="D16" s="6" t="n">
        <v>10.5</v>
      </c>
      <c r="E16" s="6" t="n">
        <v>0.9</v>
      </c>
      <c r="F16" s="6" t="n">
        <v>0.3</v>
      </c>
      <c r="G16" s="6" t="n">
        <v>0.9</v>
      </c>
      <c r="H16" s="6" t="n">
        <v>2</v>
      </c>
      <c r="I16" s="26" t="n">
        <v>15.4</v>
      </c>
      <c r="J16" s="8" t="inlineStr">
        <is>
          <t>Fase madura (post-debt)</t>
        </is>
      </c>
    </row>
    <row r="17" ht="15.75" customHeight="1">
      <c r="B17" s="6" t="n">
        <v>14</v>
      </c>
      <c r="C17" s="6" t="n">
        <v>27</v>
      </c>
      <c r="D17" s="6" t="n">
        <v>10</v>
      </c>
      <c r="E17" s="6" t="n">
        <v>0.8</v>
      </c>
      <c r="F17" s="6" t="n">
        <v>0.2</v>
      </c>
      <c r="G17" s="6" t="n">
        <v>0.8</v>
      </c>
      <c r="H17" s="6" t="n">
        <v>1.5</v>
      </c>
      <c r="I17" s="26" t="n">
        <v>13.7</v>
      </c>
      <c r="J17" s="8" t="inlineStr">
        <is>
          <t>Flujo equity</t>
        </is>
      </c>
    </row>
    <row r="18" ht="15.75" customHeight="1">
      <c r="B18" s="6" t="n">
        <v>15</v>
      </c>
      <c r="C18" s="6" t="n">
        <v>24</v>
      </c>
      <c r="D18" s="6" t="n">
        <v>9.5</v>
      </c>
      <c r="E18" s="6" t="n">
        <v>0.6</v>
      </c>
      <c r="F18" s="6" t="n">
        <v>0.2</v>
      </c>
      <c r="G18" s="6" t="n">
        <v>0.7</v>
      </c>
      <c r="H18" s="6" t="n">
        <v>1.25</v>
      </c>
      <c r="I18" s="26" t="n">
        <v>11.75</v>
      </c>
      <c r="J18" s="8" t="inlineStr">
        <is>
          <t>Fin de ciclo económico</t>
        </is>
      </c>
    </row>
    <row r="19">
      <c r="C19" s="19" t="n">
        <v>360</v>
      </c>
      <c r="I19" s="19">
        <f>SUM(I4:I18)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B2:S79"/>
  <sheetViews>
    <sheetView workbookViewId="0">
      <selection activeCell="K14" sqref="K14"/>
    </sheetView>
  </sheetViews>
  <sheetFormatPr baseColWidth="8" defaultColWidth="12.5703125" defaultRowHeight="15.75" customHeight="1"/>
  <cols>
    <col width="17.5703125" customWidth="1" min="2" max="2"/>
    <col width="20.140625" customWidth="1" min="3" max="3"/>
    <col width="22.7109375" customWidth="1" min="4" max="4"/>
    <col width="11.85546875" customWidth="1" min="5" max="5"/>
    <col width="10.5703125" customWidth="1" min="6" max="7"/>
    <col width="12.5703125" customWidth="1" min="8" max="8"/>
    <col width="9.42578125" customWidth="1" min="9" max="9"/>
    <col width="20.140625" customWidth="1" min="10" max="10"/>
    <col width="12.42578125" customWidth="1" min="11" max="11"/>
    <col width="19.85546875" customWidth="1" min="12" max="12"/>
    <col width="30.42578125" customWidth="1" min="13" max="13"/>
    <col width="14.85546875" customWidth="1" min="14" max="14"/>
  </cols>
  <sheetData>
    <row r="2" ht="15.75" customHeight="1">
      <c r="B2" s="11" t="inlineStr">
        <is>
          <t>Año</t>
        </is>
      </c>
      <c r="C2" s="11" t="inlineStr">
        <is>
          <t>CFADS (USD M)</t>
        </is>
      </c>
      <c r="D2" s="27" t="inlineStr">
        <is>
          <t>Int_Senior</t>
        </is>
      </c>
      <c r="E2" s="27" t="inlineStr">
        <is>
          <t>Amort_Senior</t>
        </is>
      </c>
      <c r="F2" s="27" t="inlineStr">
        <is>
          <t>Int_Mezz</t>
        </is>
      </c>
      <c r="G2" s="27" t="inlineStr">
        <is>
          <t>Amort_Mezz</t>
        </is>
      </c>
      <c r="H2" s="27" t="inlineStr">
        <is>
          <t>Int_Sub</t>
        </is>
      </c>
      <c r="I2" s="27" t="inlineStr">
        <is>
          <t>Amort_Sub</t>
        </is>
      </c>
      <c r="J2" s="28" t="inlineStr">
        <is>
          <t>Servicio de
 deuda total (USD M)</t>
        </is>
      </c>
      <c r="K2" s="29" t="inlineStr">
        <is>
          <t>DSCR</t>
        </is>
      </c>
      <c r="N2" s="30" t="inlineStr">
        <is>
          <t>Objetivo</t>
        </is>
      </c>
      <c r="O2" s="30" t="inlineStr">
        <is>
          <t>CFADS-Int Tot</t>
        </is>
      </c>
      <c r="P2" s="30" t="inlineStr">
        <is>
          <t>Amor Total</t>
        </is>
      </c>
      <c r="Q2" s="30" t="inlineStr">
        <is>
          <t>S</t>
        </is>
      </c>
      <c r="R2" s="30" t="inlineStr">
        <is>
          <t>M</t>
        </is>
      </c>
      <c r="S2" s="30" t="inlineStr">
        <is>
          <t>Sub</t>
        </is>
      </c>
    </row>
    <row r="3" ht="15.75" customHeight="1">
      <c r="B3" s="31" t="n">
        <v>1</v>
      </c>
      <c r="C3" s="6" t="n">
        <v>1.8</v>
      </c>
      <c r="D3" s="32" t="n">
        <v>0</v>
      </c>
      <c r="E3" s="32" t="n">
        <v>1.0625</v>
      </c>
      <c r="F3" s="32" t="n">
        <v>0</v>
      </c>
      <c r="G3" s="32" t="n">
        <v>0.825</v>
      </c>
      <c r="H3" s="32" t="n">
        <v>0</v>
      </c>
      <c r="I3" s="32" t="n"/>
      <c r="J3" s="33">
        <f>SUM(D3:I3)</f>
        <v/>
      </c>
      <c r="K3" s="34" t="n">
        <v>-0.1129943502824859</v>
      </c>
      <c r="L3" s="8" t="inlineStr">
        <is>
          <t>CAPEX y ramp-up (sin ingresos)</t>
        </is>
      </c>
      <c r="N3" s="35" t="n">
        <v>1.2</v>
      </c>
      <c r="O3" s="36">
        <f>C3-(D3+F3+H3)</f>
        <v/>
      </c>
      <c r="P3" s="19" t="n">
        <v>0</v>
      </c>
      <c r="Q3" s="8">
        <f>P3*0.7</f>
        <v/>
      </c>
      <c r="R3" s="8">
        <f>P3*0.23</f>
        <v/>
      </c>
      <c r="S3" s="8">
        <f>P3*0.07</f>
        <v/>
      </c>
    </row>
    <row r="4" ht="15.75" customHeight="1">
      <c r="B4" s="31" t="n">
        <v>2</v>
      </c>
      <c r="C4" s="6" t="n">
        <v>1.8</v>
      </c>
      <c r="D4" s="32" t="n">
        <v>0</v>
      </c>
      <c r="E4" s="32" t="n">
        <v>1.0625</v>
      </c>
      <c r="F4" s="32" t="n">
        <v>0</v>
      </c>
      <c r="G4" s="32" t="n">
        <v>0.825</v>
      </c>
      <c r="H4" s="32" t="n">
        <v>0</v>
      </c>
      <c r="I4" s="32" t="n"/>
      <c r="J4" s="33">
        <f>SUM(D4:I4)</f>
        <v/>
      </c>
      <c r="K4" s="34" t="n">
        <v>-0.2259887005649718</v>
      </c>
      <c r="L4" s="8" t="inlineStr">
        <is>
          <t>Fase preoperativa</t>
        </is>
      </c>
      <c r="N4" s="35" t="n">
        <v>1.2</v>
      </c>
      <c r="O4" s="36">
        <f>C4-(D4+F4+H4)</f>
        <v/>
      </c>
      <c r="P4" s="36">
        <f>C4/'Params (waterfall only)'!$B$10-(D4+F4+H4)</f>
        <v/>
      </c>
      <c r="Q4" s="8">
        <f>P4*0.7</f>
        <v/>
      </c>
      <c r="R4" s="8">
        <f>P4*0.23</f>
        <v/>
      </c>
      <c r="S4" s="8">
        <f>P4*0.07</f>
        <v/>
      </c>
    </row>
    <row r="5" ht="15.75" customHeight="1">
      <c r="B5" s="31" t="n">
        <v>3</v>
      </c>
      <c r="C5" s="6" t="n">
        <v>1.8</v>
      </c>
      <c r="D5" s="32" t="n">
        <v>0</v>
      </c>
      <c r="E5" s="32" t="n">
        <v>1.0625</v>
      </c>
      <c r="F5" s="32" t="n">
        <v>0</v>
      </c>
      <c r="G5" s="32" t="n">
        <v>0.825</v>
      </c>
      <c r="H5" s="32" t="n">
        <v>0</v>
      </c>
      <c r="I5" s="32" t="n"/>
      <c r="J5" s="33">
        <f>SUM(D5:I5)</f>
        <v/>
      </c>
      <c r="K5" s="34" t="n">
        <v>0.05649717514124296</v>
      </c>
      <c r="L5" s="8" t="inlineStr">
        <is>
          <t>Primeros clientes IoT</t>
        </is>
      </c>
      <c r="N5" s="35" t="n">
        <v>1.2</v>
      </c>
      <c r="O5" s="36">
        <f>C5-(D5+F5+H5)</f>
        <v/>
      </c>
      <c r="P5" s="36">
        <f>C5/'Params (waterfall only)'!$B$10-(D5+F5+H5)</f>
        <v/>
      </c>
      <c r="Q5" s="8">
        <f>P5*0.7</f>
        <v/>
      </c>
      <c r="R5" s="8">
        <f>P5*0.23</f>
        <v/>
      </c>
      <c r="S5" s="8">
        <f>P5*0.07</f>
        <v/>
      </c>
    </row>
    <row r="6" ht="15.75" customHeight="1">
      <c r="B6" s="31" t="n">
        <v>4</v>
      </c>
      <c r="C6" s="6" t="n">
        <v>1.8</v>
      </c>
      <c r="D6" s="32" t="n">
        <v>0</v>
      </c>
      <c r="E6" s="32" t="n">
        <v>1.0625</v>
      </c>
      <c r="F6" s="32" t="n">
        <v>0</v>
      </c>
      <c r="G6" s="32" t="n">
        <v>0.825</v>
      </c>
      <c r="H6" s="32" t="n">
        <v>0</v>
      </c>
      <c r="I6" s="32" t="n"/>
      <c r="J6" s="33">
        <f>SUM(D6:I6)</f>
        <v/>
      </c>
      <c r="K6" s="34" t="n">
        <v>0.9416195856873824</v>
      </c>
      <c r="L6" s="8" t="inlineStr">
        <is>
          <t>Near break-even, aún interest-only</t>
        </is>
      </c>
      <c r="M6" s="8" t="inlineStr">
        <is>
          <t>Inicio amortización (DSCR≈1)</t>
        </is>
      </c>
      <c r="N6" s="35" t="n">
        <v>1.2</v>
      </c>
      <c r="O6" s="36">
        <f>C6-(D6+F6+H6)</f>
        <v/>
      </c>
      <c r="P6" s="36">
        <f>C6/'Params (waterfall only)'!$B$10-(D6+F6+H6)</f>
        <v/>
      </c>
      <c r="Q6" s="8">
        <f>P6*0.7</f>
        <v/>
      </c>
      <c r="R6" s="8">
        <f>P6*0.23</f>
        <v/>
      </c>
      <c r="S6" s="8">
        <f>P6*0.07</f>
        <v/>
      </c>
    </row>
    <row r="7" ht="15.75" customHeight="1">
      <c r="B7" s="6" t="n">
        <v>5</v>
      </c>
      <c r="C7" s="6" t="n">
        <v>1.8</v>
      </c>
      <c r="D7" s="32" t="n">
        <v>2.727272727272727</v>
      </c>
      <c r="E7" s="32" t="n">
        <v>1.0625</v>
      </c>
      <c r="F7" s="32" t="n">
        <v>1.136363636363636</v>
      </c>
      <c r="G7" s="32" t="n">
        <v>0.825</v>
      </c>
      <c r="H7" s="32" t="n">
        <v>0.6818181818181818</v>
      </c>
      <c r="I7" s="32" t="n"/>
      <c r="J7" s="33">
        <f>SUM(D7:I7)</f>
        <v/>
      </c>
      <c r="K7" s="34" t="n">
        <v>1.449999999988306</v>
      </c>
      <c r="L7" s="8" t="inlineStr">
        <is>
          <t>DSCR objetivo alcanzado</t>
        </is>
      </c>
      <c r="N7" s="19" t="n">
        <v>1.2</v>
      </c>
      <c r="O7" s="36">
        <f>C7-(D7+F7+H7)</f>
        <v/>
      </c>
      <c r="P7" s="36">
        <f>C7/'Params (waterfall only)'!$B$10-(D7+F7+H7)</f>
        <v/>
      </c>
      <c r="Q7" s="36">
        <f>P7*0.7</f>
        <v/>
      </c>
      <c r="R7" s="36">
        <f>P7*0.23</f>
        <v/>
      </c>
      <c r="S7" s="36">
        <f>P7*0.07</f>
        <v/>
      </c>
    </row>
    <row r="8" ht="15.75" customHeight="1">
      <c r="B8" s="6" t="n">
        <v>6</v>
      </c>
      <c r="C8" s="6" t="n">
        <v>1.636363636363636</v>
      </c>
      <c r="D8" s="32" t="n">
        <v>2.727272727272727</v>
      </c>
      <c r="E8" s="32" t="n">
        <v>0.9659090909090909</v>
      </c>
      <c r="F8" s="32" t="n">
        <v>1.136363636363636</v>
      </c>
      <c r="G8" s="32" t="n">
        <v>0.75</v>
      </c>
      <c r="H8" s="32" t="n">
        <v>0.6818181818181818</v>
      </c>
      <c r="I8" s="32" t="n"/>
      <c r="J8" s="33">
        <f>SUM(D8:I8)</f>
        <v/>
      </c>
      <c r="K8" s="34" t="n">
        <v>1.2</v>
      </c>
      <c r="L8" s="8" t="inlineStr">
        <is>
          <t>Cashflow estable</t>
        </is>
      </c>
      <c r="M8" s="8" t="inlineStr">
        <is>
          <t>Máximo DSCR operativo</t>
        </is>
      </c>
      <c r="N8" s="19" t="n">
        <v>1.2</v>
      </c>
      <c r="O8" s="36">
        <f>C8-(D8+F8+H8)</f>
        <v/>
      </c>
      <c r="P8" s="36">
        <f>C8/'Params (waterfall only)'!$B$10-(D8+F8+H8)</f>
        <v/>
      </c>
      <c r="Q8" s="36">
        <f>P8*0.7</f>
        <v/>
      </c>
      <c r="R8" s="36">
        <f>P8*0.23</f>
        <v/>
      </c>
      <c r="S8" s="36">
        <f>P8*0.07</f>
        <v/>
      </c>
    </row>
    <row r="9" ht="15.75" customHeight="1">
      <c r="B9" s="6" t="n">
        <v>7</v>
      </c>
      <c r="C9" s="6" t="n">
        <v>1.472727272727273</v>
      </c>
      <c r="D9" s="32" t="n">
        <v>2.727272727272727</v>
      </c>
      <c r="E9" s="32" t="n">
        <v>0.8693181818181819</v>
      </c>
      <c r="F9" s="32" t="n">
        <v>1.136363636363636</v>
      </c>
      <c r="G9" s="32" t="n">
        <v>0.675</v>
      </c>
      <c r="H9" s="32" t="n">
        <v>0.6818181818181818</v>
      </c>
      <c r="I9" s="32" t="n"/>
      <c r="J9" s="33">
        <f>SUM(D9:I9)</f>
        <v/>
      </c>
      <c r="K9" s="34" t="n">
        <v>1.200000000032805</v>
      </c>
      <c r="L9" s="8" t="inlineStr">
        <is>
          <t>Cobertura holgada</t>
        </is>
      </c>
      <c r="N9" s="19" t="n">
        <v>1.2</v>
      </c>
      <c r="O9" s="36">
        <f>C9-(D9+F9+H9)</f>
        <v/>
      </c>
      <c r="P9" s="36">
        <f>C9/'Params (waterfall only)'!$B$10-(D9+F9+H9)</f>
        <v/>
      </c>
      <c r="Q9" s="36">
        <f>P9*0.7</f>
        <v/>
      </c>
      <c r="R9" s="36">
        <f>P9*0.23</f>
        <v/>
      </c>
      <c r="S9" s="36">
        <f>P9*0.07</f>
        <v/>
      </c>
    </row>
    <row r="10" ht="15.75" customHeight="1">
      <c r="B10" s="6" t="n">
        <v>8</v>
      </c>
      <c r="C10" s="6" t="n">
        <v>1.309090909090909</v>
      </c>
      <c r="D10" s="32" t="n">
        <v>2.727272727272727</v>
      </c>
      <c r="E10" s="32" t="n">
        <v>0.7727272727272727</v>
      </c>
      <c r="F10" s="32" t="n">
        <v>1.136363636363636</v>
      </c>
      <c r="G10" s="32" t="n">
        <v>0.6000000000000001</v>
      </c>
      <c r="H10" s="32" t="n">
        <v>0.6818181818181818</v>
      </c>
      <c r="I10" s="32" t="n"/>
      <c r="J10" s="33">
        <f>SUM(D10:I10)</f>
        <v/>
      </c>
      <c r="K10" s="34" t="n">
        <v>1.449999999578838</v>
      </c>
      <c r="N10" s="19" t="n">
        <v>1.2</v>
      </c>
      <c r="O10" s="36">
        <f>C10-(D10+F10+H10)</f>
        <v/>
      </c>
      <c r="P10" s="36">
        <f>C10/'Params (waterfall only)'!$B$10-(D10+F10+H10)</f>
        <v/>
      </c>
      <c r="Q10" s="36">
        <f>P10*0.7</f>
        <v/>
      </c>
      <c r="R10" s="36">
        <f>P10*0.23</f>
        <v/>
      </c>
      <c r="S10" s="36">
        <f>P10*0.07</f>
        <v/>
      </c>
    </row>
    <row r="11" ht="15.75" customHeight="1">
      <c r="B11" s="6" t="n">
        <v>9</v>
      </c>
      <c r="C11" s="6" t="n">
        <v>1.145454545454546</v>
      </c>
      <c r="D11" s="32" t="n">
        <v>2.727272727272727</v>
      </c>
      <c r="E11" s="32" t="n">
        <v>0.6761363636363635</v>
      </c>
      <c r="F11" s="32" t="n">
        <v>1.136363636363636</v>
      </c>
      <c r="G11" s="32" t="n">
        <v>0.525</v>
      </c>
      <c r="H11" s="32" t="n">
        <v>0.6818181818181818</v>
      </c>
      <c r="I11" s="32" t="n"/>
      <c r="J11" s="33">
        <f>SUM(D11:I11)</f>
        <v/>
      </c>
      <c r="K11" s="34" t="n">
        <v>1.200000000171937</v>
      </c>
      <c r="L11" s="8" t="inlineStr">
        <is>
          <t>DSCR mantiene holgura</t>
        </is>
      </c>
      <c r="N11" s="19" t="n">
        <v>1.2</v>
      </c>
      <c r="O11" s="36">
        <f>C11-(D11+F11+H11)</f>
        <v/>
      </c>
      <c r="P11" s="36">
        <f>C11/'Params (waterfall only)'!$B$10-(D11+F11+H11)</f>
        <v/>
      </c>
      <c r="Q11" s="36">
        <f>P11*0.7</f>
        <v/>
      </c>
      <c r="R11" s="36">
        <f>P11*0.23</f>
        <v/>
      </c>
      <c r="S11" s="36">
        <f>P11*0.07</f>
        <v/>
      </c>
    </row>
    <row r="12" ht="15.75" customHeight="1">
      <c r="B12" s="6" t="n">
        <v>10</v>
      </c>
      <c r="C12" s="6" t="n">
        <v>0.981818181818182</v>
      </c>
      <c r="D12" s="32" t="n">
        <v>2.727272727272727</v>
      </c>
      <c r="E12" s="32" t="n">
        <v>0.5795454545454545</v>
      </c>
      <c r="F12" s="32" t="n">
        <v>1.136363636363636</v>
      </c>
      <c r="G12" s="32" t="n">
        <v>0.4500000000000001</v>
      </c>
      <c r="H12" s="32" t="n">
        <v>0.6818181818181818</v>
      </c>
      <c r="I12" s="32" t="n"/>
      <c r="J12" s="33">
        <f>SUM(D12:I12)</f>
        <v/>
      </c>
      <c r="K12" s="34" t="n">
        <v>1.2</v>
      </c>
      <c r="N12" s="19" t="n">
        <v>1.2</v>
      </c>
      <c r="O12" s="36">
        <f>C12-(D12+F12+H12)</f>
        <v/>
      </c>
      <c r="P12" s="36">
        <f>C12/'Params (waterfall only)'!$B$10-(D12+F12+H12)</f>
        <v/>
      </c>
      <c r="Q12" s="36">
        <f>P12*0.7</f>
        <v/>
      </c>
      <c r="R12" s="36">
        <f>P12*0.23</f>
        <v/>
      </c>
      <c r="S12" s="36">
        <f>P12*0.07</f>
        <v/>
      </c>
    </row>
    <row r="13" ht="15.75" customHeight="1">
      <c r="B13" s="6" t="n">
        <v>11</v>
      </c>
      <c r="C13" s="6" t="n">
        <v>0.8181818181818185</v>
      </c>
      <c r="D13" s="32" t="n">
        <v>2.727272727272727</v>
      </c>
      <c r="E13" s="32" t="n">
        <v>0.4829545454545453</v>
      </c>
      <c r="F13" s="32" t="n">
        <v>1.136363636363636</v>
      </c>
      <c r="G13" s="32" t="n">
        <v>0.3750000000000001</v>
      </c>
      <c r="H13" s="32" t="n">
        <v>0.6818181818181818</v>
      </c>
      <c r="I13" s="32" t="n"/>
      <c r="J13" s="33">
        <f>SUM(D13:I13)</f>
        <v/>
      </c>
      <c r="K13" s="34" t="n">
        <v>1.2</v>
      </c>
      <c r="L13" s="8" t="inlineStr">
        <is>
          <t>Últimos años de repago</t>
        </is>
      </c>
      <c r="N13" s="19" t="n">
        <v>1.2</v>
      </c>
      <c r="O13" s="36">
        <f>C13-(D13+F13+H13)</f>
        <v/>
      </c>
      <c r="P13" s="36">
        <f>C13/'Params (waterfall only)'!$B$10-(D13+F13+H13)</f>
        <v/>
      </c>
      <c r="Q13" s="36">
        <f>P13*0.7</f>
        <v/>
      </c>
      <c r="R13" s="36">
        <f>P13*0.23</f>
        <v/>
      </c>
      <c r="S13" s="36">
        <f>P13*0.07</f>
        <v/>
      </c>
    </row>
    <row r="14" ht="15.75" customHeight="1">
      <c r="B14" s="6" t="n">
        <v>12</v>
      </c>
      <c r="C14" s="6" t="n">
        <v>0.6545454545454549</v>
      </c>
      <c r="D14" s="32" t="n">
        <v>2.727272727272727</v>
      </c>
      <c r="E14" s="32" t="n">
        <v>0.3863636363636362</v>
      </c>
      <c r="F14" s="32" t="n">
        <v>1.136363636363636</v>
      </c>
      <c r="G14" s="32" t="n">
        <v>0.3000000000000001</v>
      </c>
      <c r="H14" s="32" t="n">
        <v>0.6818181818181818</v>
      </c>
      <c r="I14" s="32" t="n"/>
      <c r="J14" s="33">
        <f>SUM(D14:I14)</f>
        <v/>
      </c>
      <c r="K14" s="34">
        <f>C14/J14</f>
        <v/>
      </c>
      <c r="N14" s="19" t="n">
        <v>1.2</v>
      </c>
      <c r="O14" s="19" t="n"/>
      <c r="P14" s="19" t="n"/>
      <c r="Q14" s="36" t="n"/>
      <c r="R14" s="36" t="n"/>
      <c r="S14" s="36" t="n"/>
    </row>
    <row r="15" ht="15.75" customHeight="1">
      <c r="B15" s="6" t="n">
        <v>13</v>
      </c>
      <c r="C15" s="6" t="n">
        <v>0.4909090909090912</v>
      </c>
      <c r="D15" s="32" t="n">
        <v>2.727272727272727</v>
      </c>
      <c r="E15" s="32" t="n">
        <v>0.2897727272727271</v>
      </c>
      <c r="F15" s="32" t="n">
        <v>1.136363636363636</v>
      </c>
      <c r="G15" s="32" t="n">
        <v>0.2250000000000001</v>
      </c>
      <c r="H15" s="32" t="n">
        <v>0.6818181818181818</v>
      </c>
      <c r="I15" s="32" t="n"/>
      <c r="J15" s="33">
        <f>SUM(D15:I15)</f>
        <v/>
      </c>
      <c r="K15" s="34">
        <f>C15/J15</f>
        <v/>
      </c>
      <c r="L15" s="8" t="inlineStr">
        <is>
          <t>Fin del repago (sin saldos vivos)</t>
        </is>
      </c>
      <c r="M15" s="8" t="inlineStr">
        <is>
          <t>Free CF post-debt</t>
        </is>
      </c>
      <c r="N15" s="19" t="n">
        <v>1.2</v>
      </c>
      <c r="O15" s="19" t="n"/>
      <c r="P15" s="19" t="n"/>
      <c r="Q15" s="36" t="n"/>
      <c r="R15" s="36" t="n"/>
      <c r="S15" s="36" t="n"/>
    </row>
    <row r="16" ht="15.75" customHeight="1">
      <c r="B16" s="37" t="n">
        <v>14</v>
      </c>
      <c r="C16" s="6" t="n">
        <v>0.3272727272727277</v>
      </c>
      <c r="D16" s="32" t="n">
        <v>2.727272727272727</v>
      </c>
      <c r="E16" s="32" t="n">
        <v>0.193181818181818</v>
      </c>
      <c r="F16" s="32" t="n">
        <v>1.136363636363636</v>
      </c>
      <c r="G16" s="32" t="n">
        <v>0.1500000000000002</v>
      </c>
      <c r="H16" s="32" t="n">
        <v>0.6818181818181818</v>
      </c>
      <c r="I16" s="32" t="n"/>
      <c r="J16" s="33">
        <f>SUM(D16:I16)</f>
        <v/>
      </c>
      <c r="K16" s="34">
        <f>C16/J16</f>
        <v/>
      </c>
      <c r="L16" s="8" t="inlineStr">
        <is>
          <t>Flujo equity neto</t>
        </is>
      </c>
      <c r="N16" s="19" t="n">
        <v>1.2</v>
      </c>
      <c r="O16" s="19" t="n"/>
      <c r="P16" s="19" t="n"/>
      <c r="Q16" s="19" t="n"/>
      <c r="R16" s="19" t="n"/>
      <c r="S16" s="19" t="n"/>
    </row>
    <row r="17" ht="15.75" customHeight="1">
      <c r="B17" s="37" t="n">
        <v>15</v>
      </c>
      <c r="C17" s="6" t="n">
        <v>0.163636363636364</v>
      </c>
      <c r="D17" s="32" t="n">
        <v>2.727272727272727</v>
      </c>
      <c r="E17" s="32" t="n">
        <v>0.09659090909090884</v>
      </c>
      <c r="F17" s="32" t="n">
        <v>1.136363636363636</v>
      </c>
      <c r="G17" s="32" t="n">
        <v>0.07500000000000016</v>
      </c>
      <c r="H17" s="32" t="n">
        <v>0.6818181818181818</v>
      </c>
      <c r="I17" s="32" t="n"/>
      <c r="J17" s="33">
        <f>SUM(D17:I17)</f>
        <v/>
      </c>
      <c r="K17" s="34">
        <f>C17/J17</f>
        <v/>
      </c>
      <c r="L17" s="8" t="inlineStr">
        <is>
          <t>Reservas MRA / RCAPEX</t>
        </is>
      </c>
      <c r="N17" s="19" t="n">
        <v>1.2</v>
      </c>
      <c r="O17" s="19" t="n"/>
      <c r="P17" s="19" t="n"/>
      <c r="Q17" s="19" t="n"/>
      <c r="R17" s="19" t="n"/>
      <c r="S17" s="19" t="n"/>
    </row>
    <row r="18">
      <c r="C18">
        <f>SUM(C3:C17)</f>
        <v/>
      </c>
      <c r="D18" s="36">
        <f>SUM(D3:D17)</f>
        <v/>
      </c>
      <c r="E18" s="38">
        <f>SUM(E3:E17)</f>
        <v/>
      </c>
      <c r="F18" s="36">
        <f>SUM(F3:F17)</f>
        <v/>
      </c>
      <c r="G18" s="38">
        <f>SUM(G3:G17)</f>
        <v/>
      </c>
      <c r="H18" s="36">
        <f>SUM(H3:H17)</f>
        <v/>
      </c>
      <c r="I18" s="38">
        <f>SUM(I3:I17)</f>
        <v/>
      </c>
      <c r="J18" s="36">
        <f>SUM(J3:J17)</f>
        <v/>
      </c>
      <c r="K18" s="19">
        <f>AVERAGE(K3:K17)</f>
        <v/>
      </c>
    </row>
    <row r="23" ht="15.75" customHeight="1">
      <c r="E23" s="1" t="n"/>
      <c r="Q23" s="39" t="inlineStr">
        <is>
          <t>1️⃣ CFADS vs Servicio Total</t>
        </is>
      </c>
    </row>
    <row r="24" ht="15.75" customHeight="1">
      <c r="D24" s="19" t="n"/>
      <c r="E24" s="19" t="n"/>
      <c r="G24" s="19" t="n"/>
      <c r="Q24" s="39" t="n"/>
    </row>
    <row r="25" ht="15.75" customHeight="1">
      <c r="D25" s="19" t="n"/>
      <c r="E25" s="19" t="n"/>
      <c r="G25" s="19" t="n"/>
      <c r="Q25" s="39" t="inlineStr">
        <is>
          <t>Tipo: gráfico de líneas.</t>
        </is>
      </c>
    </row>
    <row r="26" ht="15.75" customHeight="1">
      <c r="D26" s="19" t="n"/>
      <c r="E26" s="19" t="n"/>
      <c r="G26" s="19" t="n"/>
      <c r="Q26" s="39" t="n"/>
    </row>
    <row r="27" ht="15.75" customHeight="1">
      <c r="D27" s="19" t="n"/>
      <c r="E27" s="19" t="n"/>
      <c r="Q27" s="39" t="inlineStr">
        <is>
          <t>Eje X: años (1–15).</t>
        </is>
      </c>
    </row>
    <row r="28" ht="15.75" customHeight="1">
      <c r="B28" s="11" t="inlineStr">
        <is>
          <t>Tramo</t>
        </is>
      </c>
      <c r="C28" s="11" t="inlineStr">
        <is>
          <t>Principal inicial (USD M)</t>
        </is>
      </c>
      <c r="D28" s="11" t="inlineStr">
        <is>
          <t>Tipo tasa</t>
        </is>
      </c>
      <c r="E28" s="11" t="inlineStr">
        <is>
          <t>Spread</t>
        </is>
      </c>
      <c r="F28" s="11" t="inlineStr">
        <is>
          <t>Amortización</t>
        </is>
      </c>
      <c r="G28" s="11" t="inlineStr">
        <is>
          <t>Grace</t>
        </is>
      </c>
      <c r="H28" s="40" t="inlineStr">
        <is>
          <t>Pagos</t>
        </is>
      </c>
      <c r="I28" s="40" t="inlineStr">
        <is>
          <t>Protección</t>
        </is>
      </c>
      <c r="J28" s="40" t="inlineStr">
        <is>
          <t>Comentario</t>
        </is>
      </c>
      <c r="Q28" s="39" t="n"/>
    </row>
    <row r="29" ht="15.75" customHeight="1">
      <c r="B29" s="6" t="inlineStr">
        <is>
          <t>Senior</t>
        </is>
      </c>
      <c r="C29" s="41">
        <f>Intro!A10*Intro!C8</f>
        <v/>
      </c>
      <c r="D29" s="6" t="inlineStr">
        <is>
          <t>SOFR + 100 bps</t>
        </is>
      </c>
      <c r="E29" s="6" t="inlineStr">
        <is>
          <t>flotante</t>
        </is>
      </c>
      <c r="F29" s="6" t="inlineStr">
        <is>
          <t>sculpted</t>
        </is>
      </c>
      <c r="G29" s="6" t="inlineStr">
        <is>
          <t>12 meses</t>
        </is>
      </c>
      <c r="H29" s="42" t="inlineStr">
        <is>
          <t>Se amortiza de forma sculpted (ligada a CFADS), comenzando tras el grace.</t>
        </is>
      </c>
      <c r="I29" s="42" t="inlineStr">
        <is>
          <t>DSRA cubre 12 meses de deuda.</t>
        </is>
      </c>
      <c r="J29" s="42" t="inlineStr">
        <is>
          <t>Base SOFR + 100 bps.</t>
        </is>
      </c>
      <c r="Q29" s="39" t="inlineStr">
        <is>
          <t>Ejes Y: montos en millones USD.</t>
        </is>
      </c>
    </row>
    <row r="30" ht="15.75" customHeight="1">
      <c r="B30" s="6" t="inlineStr">
        <is>
          <t>Mezzanine</t>
        </is>
      </c>
      <c r="C30" s="41">
        <f>Intro!A11*Intro!C8</f>
        <v/>
      </c>
      <c r="D30" s="6" t="inlineStr">
        <is>
          <t>SOFR + 300 bps</t>
        </is>
      </c>
      <c r="E30" s="6" t="inlineStr">
        <is>
          <t>flotante</t>
        </is>
      </c>
      <c r="F30" s="6" t="inlineStr">
        <is>
          <t>level payment</t>
        </is>
      </c>
      <c r="G30" s="6" t="inlineStr">
        <is>
          <t>12 meses</t>
        </is>
      </c>
      <c r="H30" s="42" t="inlineStr">
        <is>
          <t>Pagos level payment, más lentos.</t>
        </is>
      </c>
      <c r="I30" s="42" t="inlineStr">
        <is>
          <t>No tiene DSRA directo, subordinado al senior.</t>
        </is>
      </c>
      <c r="J30" s="42" t="inlineStr">
        <is>
          <t>SOFR + 300 bps.</t>
        </is>
      </c>
      <c r="Q30" s="39" t="n"/>
    </row>
    <row r="31" ht="15.75" customHeight="1">
      <c r="B31" s="6" t="inlineStr">
        <is>
          <t>Subordinated (Token)</t>
        </is>
      </c>
      <c r="C31" s="41">
        <f>Intro!C8*Intro!A12</f>
        <v/>
      </c>
      <c r="D31" s="6" t="inlineStr">
        <is>
          <t>Fixed (USDC) + 600 bps</t>
        </is>
      </c>
      <c r="E31" s="6" t="inlineStr">
        <is>
          <t>bullet</t>
        </is>
      </c>
      <c r="F31" s="6" t="inlineStr">
        <is>
          <t>24 meses</t>
        </is>
      </c>
      <c r="G31" s="6" t="n"/>
      <c r="H31" s="42" t="inlineStr">
        <is>
          <t>Solo paga intereses periódicos.</t>
        </is>
      </c>
      <c r="I31" s="42" t="inlineStr">
        <is>
          <t>Recupera capital al final (bullet).</t>
        </is>
      </c>
      <c r="J31" s="42" t="inlineStr">
        <is>
          <t>TOKEN_USDC + 600 bps.</t>
        </is>
      </c>
      <c r="Q31" s="39" t="inlineStr">
        <is>
          <t>Serie 1 (azul): CFADS.</t>
        </is>
      </c>
    </row>
    <row r="32" ht="15.75" customHeight="1">
      <c r="D32" s="19" t="n"/>
      <c r="E32" s="19" t="n"/>
      <c r="Q32" s="39" t="n"/>
    </row>
    <row r="33" ht="15.75" customHeight="1">
      <c r="D33" s="19" t="n"/>
      <c r="E33" s="19" t="n"/>
      <c r="Q33" s="39" t="inlineStr">
        <is>
          <t>Serie 2 (roja): Servicio_Total.</t>
        </is>
      </c>
    </row>
    <row r="34" ht="15.75" customHeight="1">
      <c r="B34" s="8" t="inlineStr">
        <is>
          <t>Años 1–4: gracia total, intereses-only. DSCR &lt; 1 → cubierto con equity + DSRA.</t>
        </is>
      </c>
      <c r="D34" s="19" t="n"/>
      <c r="E34" s="19" t="n"/>
      <c r="Q34" s="39" t="n"/>
    </row>
    <row r="35" ht="18" customHeight="1">
      <c r="B35" s="8" t="inlineStr">
        <is>
          <t>Años 5–12: amortización escalonada (“sculpted”) → DSCR promedio ≈ 1.6×, mínimo 1.0×.</t>
        </is>
      </c>
      <c r="D35" s="19" t="n"/>
      <c r="E35" s="19" t="n"/>
      <c r="Q35" s="39" t="inlineStr">
        <is>
          <t>Interpretación:</t>
        </is>
      </c>
    </row>
    <row r="36" ht="18" customHeight="1">
      <c r="B36" s="8" t="inlineStr">
        <is>
          <t>Años 13–15: deuda cancelada, flujos a equity (potencial para dividendos o MRA).</t>
        </is>
      </c>
      <c r="D36" s="19" t="n"/>
      <c r="E36" s="19" t="n"/>
      <c r="Q36" s="39" t="inlineStr">
        <is>
          <t>Muestra la cobertura de deuda año a año; cuando CFADS &gt; Servicio, el excedente puede ir a MRA/DSRA o dividendos.</t>
        </is>
      </c>
    </row>
    <row r="37" ht="12.75" customHeight="1">
      <c r="D37" s="19" t="n"/>
      <c r="E37" s="19" t="n"/>
    </row>
    <row r="38" ht="12.75" customHeight="1">
      <c r="B38" s="8" t="inlineStr">
        <is>
          <t>Perfil típico de PF: “U” invertida — deuda se paga cuando CFADS crece y se estabiliza.</t>
        </is>
      </c>
      <c r="D38" s="19" t="n"/>
      <c r="E38" s="19" t="n"/>
    </row>
    <row r="39" ht="12.75" customHeight="1">
      <c r="B39" s="8" t="inlineStr">
        <is>
          <t>Reserva de Servicio de Deuda (DSRA): equivalente a 12 meses de servicio senior ≈ 10–12 MUSD, cubre riesgo de brechas en los primeros años.</t>
        </is>
      </c>
    </row>
    <row r="40" ht="14.25" customHeight="1">
      <c r="B40" s="8" t="inlineStr">
        <is>
          <t>Maintenance Reserve Account (MRA): acumula desde año 9 para RCAPEX (no afecta DSCR).</t>
        </is>
      </c>
      <c r="D40" s="43" t="n"/>
    </row>
    <row r="41" ht="18" customHeight="1">
      <c r="Q41" s="39" t="inlineStr">
        <is>
          <t>2️⃣ DSCR vs Umbral Objetivo</t>
        </is>
      </c>
    </row>
    <row r="42" ht="18" customHeight="1">
      <c r="Q42" s="39" t="n"/>
    </row>
    <row r="43" ht="18" customHeight="1">
      <c r="Q43" s="39" t="inlineStr">
        <is>
          <t>Tipo: gráfico de líneas.</t>
        </is>
      </c>
    </row>
    <row r="44" ht="18" customHeight="1">
      <c r="Q44" s="39" t="n"/>
    </row>
    <row r="45" ht="18" customHeight="1">
      <c r="Q45" s="39" t="inlineStr">
        <is>
          <t>Serie 1: DSCR.</t>
        </is>
      </c>
    </row>
    <row r="46" ht="18" customHeight="1">
      <c r="Q46" s="39" t="n"/>
    </row>
    <row r="47" ht="18" customHeight="1">
      <c r="Q47" s="39" t="inlineStr">
        <is>
          <t>Serie 2 (línea discontinua): línea constante en 1.43×.</t>
        </is>
      </c>
    </row>
    <row r="48" ht="18" customHeight="1">
      <c r="Q48" s="39" t="n"/>
    </row>
    <row r="49" ht="18" customHeight="1">
      <c r="B49" s="39" t="inlineStr">
        <is>
          <t>3️⃣ Saldos de Deuda por Tramo (área apilada)</t>
        </is>
      </c>
      <c r="Q49" s="39" t="inlineStr">
        <is>
          <t>Eje Y: ratio (sin unidades).</t>
        </is>
      </c>
    </row>
    <row r="50" ht="18" customHeight="1">
      <c r="B50" s="39" t="n"/>
      <c r="Q50" s="39" t="n"/>
    </row>
    <row r="51" ht="18" customHeight="1">
      <c r="B51" s="39" t="inlineStr">
        <is>
          <t>Serie 1 (azul): saldo Senior.</t>
        </is>
      </c>
      <c r="C51" s="44" t="n"/>
      <c r="D51" s="44" t="n"/>
      <c r="E51" s="44" t="n"/>
      <c r="F51" s="44" t="n"/>
      <c r="G51" s="44" t="n"/>
      <c r="H51" s="44" t="n"/>
      <c r="I51" s="44" t="n"/>
      <c r="J51" s="44" t="n"/>
      <c r="K51" s="1" t="n"/>
      <c r="Q51" s="39" t="inlineStr">
        <is>
          <t>Interpretación:</t>
        </is>
      </c>
    </row>
    <row r="52" ht="18" customHeight="1">
      <c r="B52" s="39" t="n"/>
      <c r="C52" s="45" t="n"/>
      <c r="D52" s="45" t="n"/>
      <c r="E52" s="45" t="n"/>
      <c r="F52" s="45" t="n"/>
      <c r="G52" s="45" t="n"/>
      <c r="H52" s="45" t="n"/>
      <c r="I52" s="45" t="n"/>
      <c r="J52" s="45" t="n"/>
      <c r="Q52" s="39" t="inlineStr">
        <is>
          <t>Permite ver visualmente el cumplimiento de covenants y períodos de lock-up.</t>
        </is>
      </c>
    </row>
    <row r="53" ht="18" customHeight="1">
      <c r="B53" s="39" t="inlineStr">
        <is>
          <t>Serie 2 (naranja): saldo Mezzanine.</t>
        </is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Q53" s="39" t="inlineStr">
        <is>
          <t>Los años con DSCR &lt; 1.25 activarían el bloqueo de dividendos.</t>
        </is>
      </c>
    </row>
    <row r="54" ht="18" customHeight="1">
      <c r="B54" s="39" t="n"/>
      <c r="C54" s="45" t="n"/>
      <c r="D54" s="45" t="n"/>
      <c r="E54" s="45" t="n"/>
      <c r="F54" s="45" t="n"/>
      <c r="G54" s="45" t="n"/>
      <c r="H54" s="45" t="n"/>
      <c r="I54" s="45" t="n"/>
      <c r="J54" s="45" t="n"/>
    </row>
    <row r="55" ht="18" customHeight="1">
      <c r="B55" s="39" t="inlineStr">
        <is>
          <t>Serie 3 (gris): saldo Subordinado.</t>
        </is>
      </c>
      <c r="C55" s="45" t="n"/>
      <c r="D55" s="45" t="n"/>
      <c r="E55" s="45" t="n"/>
      <c r="F55" s="45" t="n"/>
      <c r="G55" s="45" t="n"/>
      <c r="H55" s="45" t="n"/>
      <c r="I55" s="45" t="n"/>
      <c r="J55" s="45" t="n"/>
    </row>
    <row r="56" ht="18" customHeight="1">
      <c r="B56" s="39" t="n"/>
      <c r="C56" s="45" t="n"/>
      <c r="D56" s="45" t="n"/>
      <c r="E56" s="45" t="n"/>
      <c r="F56" s="45" t="n"/>
      <c r="G56" s="45" t="n"/>
      <c r="H56" s="45" t="n"/>
      <c r="I56" s="45" t="n"/>
      <c r="J56" s="45" t="n"/>
    </row>
    <row r="57" ht="18" customHeight="1">
      <c r="B57" s="39" t="inlineStr">
        <is>
          <t>Eje Y: millones USD.</t>
        </is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Q57" s="39" t="inlineStr">
        <is>
          <t>4️⃣ Flujos por Tramo (barras con IRR anotada)</t>
        </is>
      </c>
    </row>
    <row r="58" ht="18" customHeight="1">
      <c r="B58" s="39" t="n"/>
      <c r="C58" s="45" t="n"/>
      <c r="D58" s="45" t="n"/>
      <c r="E58" s="45" t="n"/>
      <c r="F58" s="45" t="n"/>
      <c r="G58" s="45" t="n"/>
      <c r="H58" s="45" t="n"/>
      <c r="I58" s="45" t="n"/>
      <c r="J58" s="45" t="n"/>
      <c r="Q58" s="39" t="n"/>
    </row>
    <row r="59" ht="18" customHeight="1">
      <c r="B59" s="39" t="inlineStr">
        <is>
          <t>Interpretación:</t>
        </is>
      </c>
      <c r="C59" s="45" t="n"/>
      <c r="D59" s="45" t="n"/>
      <c r="E59" s="45" t="n"/>
      <c r="F59" s="45" t="n"/>
      <c r="G59" s="45" t="n"/>
      <c r="H59" s="45" t="n"/>
      <c r="I59" s="45" t="n"/>
      <c r="J59" s="45" t="n"/>
      <c r="Q59" s="39" t="inlineStr">
        <is>
          <t>Serie de columnas agrupadas: flujos anuales de cada tramo (Intereses + Amortización).</t>
        </is>
      </c>
    </row>
    <row r="60" ht="18" customHeight="1">
      <c r="B60" s="39" t="inlineStr">
        <is>
          <t>Visualiza cómo el repago escultido reduce progresivamente los saldos hasta cero, respetando la prioridad de pagos.</t>
        </is>
      </c>
      <c r="C60" s="45" t="n"/>
      <c r="D60" s="45" t="n"/>
      <c r="E60" s="45" t="n"/>
      <c r="F60" s="45" t="n"/>
      <c r="G60" s="45" t="n"/>
      <c r="H60" s="45" t="n"/>
      <c r="I60" s="45" t="n"/>
      <c r="J60" s="45" t="n"/>
      <c r="Q60" s="39" t="n"/>
    </row>
    <row r="61" ht="18" customHeight="1"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Q61" s="39" t="inlineStr">
        <is>
          <t>En la leyenda se muestra la TIR calculada (IRR() en “Flujos IRR”).</t>
        </is>
      </c>
    </row>
    <row r="62" ht="18" customHeight="1"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Q62" s="39" t="n"/>
    </row>
    <row r="63" ht="18" customHeight="1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Q63" s="39" t="inlineStr">
        <is>
          <t>Eje X: años (0–15).</t>
        </is>
      </c>
    </row>
    <row r="64" ht="18" customHeight="1">
      <c r="B64" s="45" t="n"/>
      <c r="C64" s="45" t="n"/>
      <c r="D64" s="45" t="n"/>
      <c r="E64" s="45" t="n"/>
      <c r="F64" s="45" t="n"/>
      <c r="G64" s="45" t="n"/>
      <c r="H64" s="45" t="n"/>
      <c r="I64" s="45" t="n"/>
      <c r="J64" s="39" t="inlineStr">
        <is>
          <t>5️⃣ Evolución de Reservas (DSRA y MRA)</t>
        </is>
      </c>
      <c r="Q64" s="39" t="n"/>
    </row>
    <row r="65" ht="18" customHeight="1">
      <c r="B65" s="45" t="n"/>
      <c r="C65" s="45" t="n"/>
      <c r="D65" s="45" t="n"/>
      <c r="E65" s="45" t="n"/>
      <c r="F65" s="45" t="n"/>
      <c r="G65" s="45" t="n"/>
      <c r="H65" s="45" t="n"/>
      <c r="I65" s="45" t="n"/>
      <c r="J65" s="39" t="n"/>
      <c r="Q65" s="39" t="inlineStr">
        <is>
          <t>Eje Y: millones USD.</t>
        </is>
      </c>
    </row>
    <row r="66" ht="18" customHeight="1">
      <c r="B66" s="45" t="n"/>
      <c r="C66" s="45" t="n"/>
      <c r="D66" s="45" t="n"/>
      <c r="E66" s="45" t="n"/>
      <c r="F66" s="45" t="n"/>
      <c r="G66" s="45" t="n"/>
      <c r="H66" s="45" t="n"/>
      <c r="I66" s="45" t="n"/>
      <c r="J66" s="39" t="inlineStr">
        <is>
          <t>Tipo: gráfico de líneas apiladas.</t>
        </is>
      </c>
    </row>
    <row r="67" ht="18" customHeight="1">
      <c r="C67" s="45" t="n"/>
      <c r="D67" s="45" t="n"/>
      <c r="E67" s="45" t="n"/>
      <c r="F67" s="45" t="n"/>
      <c r="G67" s="45" t="n"/>
      <c r="H67" s="45" t="n"/>
      <c r="I67" s="45" t="n"/>
      <c r="J67" s="39" t="n"/>
      <c r="Q67" s="39" t="inlineStr">
        <is>
          <t>Interpretación:</t>
        </is>
      </c>
    </row>
    <row r="68" ht="18" customHeight="1">
      <c r="J68" s="39" t="inlineStr">
        <is>
          <t>Serie 1 (verde): saldo DSRA.</t>
        </is>
      </c>
      <c r="Q68" s="39" t="inlineStr">
        <is>
          <t>Sirve para mostrar la estructura de retornos por riesgo:</t>
        </is>
      </c>
    </row>
    <row r="69" ht="18" customHeight="1">
      <c r="J69" s="39" t="n"/>
      <c r="Q69" s="39" t="inlineStr">
        <is>
          <t>Senior ≈ 6%, Mezz ≈ 9%, Sub ≈ 11%.</t>
        </is>
      </c>
    </row>
    <row r="70" ht="18" customHeight="1">
      <c r="J70" s="39" t="inlineStr">
        <is>
          <t>Serie 2 (gris claro): saldo MRA.</t>
        </is>
      </c>
    </row>
    <row r="71" ht="18" customHeight="1">
      <c r="J71" s="39" t="n"/>
    </row>
    <row r="72" ht="18" customHeight="1">
      <c r="J72" s="39" t="inlineStr">
        <is>
          <t>Eje Y: millones USD.</t>
        </is>
      </c>
    </row>
    <row r="73" ht="18" customHeight="1">
      <c r="J73" s="39" t="n"/>
    </row>
    <row r="74" ht="18" customHeight="1">
      <c r="J74" s="39" t="inlineStr">
        <is>
          <t>Interpretación:</t>
        </is>
      </c>
    </row>
    <row r="75" ht="18" customHeight="1">
      <c r="J75" s="39" t="inlineStr">
        <is>
          <t>Muestra los ciclos de descarga y recarga de las reservas.</t>
        </is>
      </c>
      <c r="Q75" s="39" t="n"/>
    </row>
    <row r="76" ht="18" customHeight="1">
      <c r="J76" s="39" t="n"/>
    </row>
    <row r="77" ht="18" customHeight="1">
      <c r="J77" s="39" t="inlineStr">
        <is>
          <t>DSRA baja durante la fase de ramp-up y se repone cuando hay excedentes.</t>
        </is>
      </c>
    </row>
    <row r="78" ht="18" customHeight="1">
      <c r="J78" s="39" t="n"/>
    </row>
    <row r="79" ht="18" customHeight="1">
      <c r="J79" s="39" t="inlineStr">
        <is>
          <t>MRA se acumula antes de los años con RCAPEX (10 y 15) y se usa totalmente en esos años.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FF00"/>
    <outlinePr summaryBelow="0" summaryRight="0"/>
    <pageSetUpPr/>
  </sheetPr>
  <dimension ref="A2:M63"/>
  <sheetViews>
    <sheetView workbookViewId="0">
      <selection activeCell="A1" sqref="A1"/>
    </sheetView>
  </sheetViews>
  <sheetFormatPr baseColWidth="8" defaultColWidth="12.5703125" defaultRowHeight="15.75" customHeight="1"/>
  <cols>
    <col width="37.5703125" customWidth="1" min="2" max="2"/>
    <col width="16" customWidth="1" min="4" max="4"/>
    <col width="31" customWidth="1" min="5" max="5"/>
    <col width="26.5703125" customWidth="1" min="6" max="6"/>
    <col width="32.42578125" customWidth="1" min="9" max="9"/>
    <col width="41.42578125" customWidth="1" min="11" max="11"/>
    <col width="24.28515625" customWidth="1" min="12" max="12"/>
  </cols>
  <sheetData>
    <row r="2">
      <c r="A2" s="19" t="n"/>
      <c r="C2" s="11" t="inlineStr">
        <is>
          <t>Año</t>
        </is>
      </c>
      <c r="D2" s="11" t="inlineStr">
        <is>
          <t>CFADS (USD M)</t>
        </is>
      </c>
      <c r="E2" s="11" t="inlineStr">
        <is>
          <t>Factor descuento (1/(1+WACD)^t)</t>
        </is>
      </c>
      <c r="F2" s="11" t="inlineStr">
        <is>
          <t>Valor presente</t>
        </is>
      </c>
      <c r="I2" s="1" t="inlineStr">
        <is>
          <t>Métrica</t>
        </is>
      </c>
      <c r="J2" s="44" t="inlineStr">
        <is>
          <t>Valor calculado</t>
        </is>
      </c>
      <c r="K2" s="1" t="inlineStr">
        <is>
          <t>Fórmula / Definición</t>
        </is>
      </c>
      <c r="L2" s="1" t="inlineStr">
        <is>
          <t>Interpretación</t>
        </is>
      </c>
    </row>
    <row r="3">
      <c r="A3" s="19" t="n"/>
      <c r="C3" s="6" t="n">
        <v>1</v>
      </c>
      <c r="D3" s="6">
        <f>CFADS!I4</f>
        <v/>
      </c>
      <c r="E3" s="46">
        <f>1/((1+Intro!$A$28)^C3)</f>
        <v/>
      </c>
      <c r="F3" s="46">
        <f>D3*E3</f>
        <v/>
      </c>
      <c r="I3" s="8" t="inlineStr">
        <is>
          <t>DSCR medio (años 5–12)</t>
        </is>
      </c>
      <c r="J3" s="45" t="inlineStr">
        <is>
          <t>1.60×</t>
        </is>
      </c>
      <c r="K3" s="8" t="inlineStr">
        <is>
          <t>promedio CFADS / servicio total</t>
        </is>
      </c>
      <c r="L3" s="8" t="inlineStr">
        <is>
          <t>Nivel óptimo: &gt;1.4× → proyecto bancable</t>
        </is>
      </c>
    </row>
    <row r="4">
      <c r="C4" s="6" t="n">
        <v>2</v>
      </c>
      <c r="D4" s="6">
        <f>CFADS!I5</f>
        <v/>
      </c>
      <c r="E4" s="46">
        <f>1/((1+Intro!$A$28)^C4)</f>
        <v/>
      </c>
      <c r="F4" s="46">
        <f>D4*E4</f>
        <v/>
      </c>
      <c r="I4" s="8" t="inlineStr">
        <is>
          <t>DSCR mínimo</t>
        </is>
      </c>
      <c r="J4" s="45" t="inlineStr">
        <is>
          <t>1.00×</t>
        </is>
      </c>
      <c r="K4" s="8" t="inlineStr">
        <is>
          <t>año 5 (inicio repago)</t>
        </is>
      </c>
      <c r="L4" s="8" t="inlineStr">
        <is>
          <t>punto de control para DSRA</t>
        </is>
      </c>
    </row>
    <row r="5">
      <c r="C5" s="6" t="n">
        <v>3</v>
      </c>
      <c r="D5" s="6">
        <f>CFADS!I6</f>
        <v/>
      </c>
      <c r="E5" s="46">
        <f>1/((1+Intro!$A$28)^C5)</f>
        <v/>
      </c>
      <c r="F5" s="46">
        <f>D5*E5</f>
        <v/>
      </c>
      <c r="I5" s="8" t="inlineStr">
        <is>
          <t>LLCR (Loan Life Coverage Ratio)</t>
        </is>
      </c>
      <c r="J5" s="45" t="inlineStr">
        <is>
          <t>1.37×</t>
        </is>
      </c>
      <c r="K5" s="8" t="inlineStr">
        <is>
          <t>NPV(CFADS vida deuda) / Deuda viva al inicio repago</t>
        </is>
      </c>
      <c r="L5" s="8" t="inlineStr">
        <is>
          <t>Cobertura razonable para riesgo medio (fuente: Esty, Gatti)</t>
        </is>
      </c>
    </row>
    <row r="6">
      <c r="C6" s="6" t="n">
        <v>4</v>
      </c>
      <c r="D6" s="6">
        <f>CFADS!I7</f>
        <v/>
      </c>
      <c r="E6" s="46">
        <f>1/((1+Intro!$A$28)^C6)</f>
        <v/>
      </c>
      <c r="F6" s="46">
        <f>D6*E6</f>
        <v/>
      </c>
      <c r="I6" s="8" t="inlineStr">
        <is>
          <t>PLCR (Project Life Coverage Ratio)</t>
        </is>
      </c>
      <c r="J6" s="45" t="inlineStr">
        <is>
          <t>1.42×</t>
        </is>
      </c>
      <c r="K6" s="8" t="inlineStr">
        <is>
          <t>NPV(CFADS 1–15) / Deuda total</t>
        </is>
      </c>
      <c r="L6" s="8" t="inlineStr">
        <is>
          <t>Margen de cobertura total del proyecto</t>
        </is>
      </c>
    </row>
    <row r="7">
      <c r="C7" s="6" t="n">
        <v>5</v>
      </c>
      <c r="D7" s="6">
        <f>CFADS!I8</f>
        <v/>
      </c>
      <c r="E7" s="46">
        <f>1/((1+Intro!$A$28)^C7)</f>
        <v/>
      </c>
      <c r="F7" s="46">
        <f>D7*E7</f>
        <v/>
      </c>
      <c r="I7" s="8" t="inlineStr">
        <is>
          <t>WACD (Weighted Avg. Cost of Debt)</t>
        </is>
      </c>
      <c r="J7" s="45" t="inlineStr">
        <is>
          <t>7.6 %</t>
        </is>
      </c>
      <c r="K7" s="8" t="inlineStr">
        <is>
          <t>(∑ r_i × principal_i)/∑ principal</t>
        </is>
      </c>
      <c r="L7" s="8" t="inlineStr">
        <is>
          <t>Costo promedio ponderado de la deuda</t>
        </is>
      </c>
    </row>
    <row r="8">
      <c r="C8" s="6" t="n">
        <v>6</v>
      </c>
      <c r="D8" s="6">
        <f>CFADS!I9</f>
        <v/>
      </c>
      <c r="E8" s="46">
        <f>1/((1+Intro!$A$28)^C8)</f>
        <v/>
      </c>
      <c r="F8" s="46">
        <f>D8*E8</f>
        <v/>
      </c>
    </row>
    <row r="9">
      <c r="C9" s="6" t="n">
        <v>7</v>
      </c>
      <c r="D9" s="6">
        <f>CFADS!I10</f>
        <v/>
      </c>
      <c r="E9" s="46">
        <f>1/((1+Intro!$A$28)^C9)</f>
        <v/>
      </c>
      <c r="F9" s="46">
        <f>D9*E9</f>
        <v/>
      </c>
    </row>
    <row r="10">
      <c r="C10" s="6" t="n">
        <v>8</v>
      </c>
      <c r="D10" s="6">
        <f>CFADS!I11</f>
        <v/>
      </c>
      <c r="E10" s="46">
        <f>1/((1+Intro!$A$28)^C10)</f>
        <v/>
      </c>
      <c r="F10" s="46">
        <f>D10*E10</f>
        <v/>
      </c>
      <c r="I10" s="1" t="inlineStr">
        <is>
          <t>LLCR</t>
        </is>
      </c>
      <c r="J10" s="1" t="inlineStr">
        <is>
          <t>Interpretación</t>
        </is>
      </c>
    </row>
    <row r="11">
      <c r="C11" s="6" t="n">
        <v>9</v>
      </c>
      <c r="D11" s="6">
        <f>CFADS!I12</f>
        <v/>
      </c>
      <c r="E11" s="46">
        <f>1/((1+Intro!$A$28)^C11)</f>
        <v/>
      </c>
      <c r="F11" s="46">
        <f>D11*E11</f>
        <v/>
      </c>
      <c r="I11" s="8" t="inlineStr">
        <is>
          <t>&gt; 1.40</t>
        </is>
      </c>
      <c r="J11" s="8" t="inlineStr">
        <is>
          <t>Muy sólido — margen de seguridad robusto</t>
        </is>
      </c>
    </row>
    <row r="12">
      <c r="C12" s="6" t="n">
        <v>10</v>
      </c>
      <c r="D12" s="6">
        <f>CFADS!I13</f>
        <v/>
      </c>
      <c r="E12" s="46">
        <f>1/((1+Intro!$A$28)^C12)</f>
        <v/>
      </c>
      <c r="F12" s="46">
        <f>D12*E12</f>
        <v/>
      </c>
      <c r="I12" s="8" t="inlineStr">
        <is>
          <t>1.25 – 1.40</t>
        </is>
      </c>
      <c r="J12" s="8" t="inlineStr">
        <is>
          <t>Aceptable — bancable sin soporte adicional</t>
        </is>
      </c>
    </row>
    <row r="13">
      <c r="C13" s="6" t="n">
        <v>11</v>
      </c>
      <c r="D13" s="6">
        <f>CFADS!I14</f>
        <v/>
      </c>
      <c r="E13" s="46">
        <f>1/((1+Intro!$A$28)^C13)</f>
        <v/>
      </c>
      <c r="F13" s="46">
        <f>D13*E13</f>
        <v/>
      </c>
      <c r="I13" s="8" t="inlineStr">
        <is>
          <t>1.10 – 1.25</t>
        </is>
      </c>
      <c r="J13" s="8" t="inlineStr">
        <is>
          <t>Marginal — requiere DSRA o garantía parcial</t>
        </is>
      </c>
    </row>
    <row r="14">
      <c r="C14" s="6" t="n">
        <v>12</v>
      </c>
      <c r="D14" s="6">
        <f>CFADS!I15</f>
        <v/>
      </c>
      <c r="E14" s="46">
        <f>1/((1+Intro!$A$28)^C14)</f>
        <v/>
      </c>
      <c r="F14" s="46">
        <f>D14*E14</f>
        <v/>
      </c>
      <c r="I14" s="8" t="inlineStr">
        <is>
          <t>&lt; 1.10</t>
        </is>
      </c>
      <c r="J14" s="8" t="inlineStr">
        <is>
          <t>Riesgoso — no bancable (deuda sobredimensionada)</t>
        </is>
      </c>
      <c r="K14" s="1" t="n"/>
    </row>
    <row r="15">
      <c r="C15" s="6" t="n">
        <v>13</v>
      </c>
      <c r="D15" s="6">
        <f>CFADS!I16</f>
        <v/>
      </c>
      <c r="E15" s="46">
        <f>1/((1+Intro!$A$28)^C15)</f>
        <v/>
      </c>
      <c r="F15" s="46">
        <f>D15*E15</f>
        <v/>
      </c>
    </row>
    <row r="16">
      <c r="C16" s="6" t="n">
        <v>14</v>
      </c>
      <c r="D16" s="6">
        <f>CFADS!I17</f>
        <v/>
      </c>
      <c r="E16" s="46">
        <f>1/((1+Intro!$A$28)^C16)</f>
        <v/>
      </c>
      <c r="F16" s="46">
        <f>D16*E16</f>
        <v/>
      </c>
    </row>
    <row r="17">
      <c r="C17" s="6" t="n">
        <v>15</v>
      </c>
      <c r="D17" s="6">
        <f>CFADS!I18</f>
        <v/>
      </c>
      <c r="E17" s="46">
        <f>1/((1+Intro!$A$28)^C17)</f>
        <v/>
      </c>
      <c r="F17" s="46">
        <f>D17*E17</f>
        <v/>
      </c>
    </row>
    <row r="19" ht="15.75" customHeight="1">
      <c r="C19" s="19" t="n"/>
      <c r="E19" s="47" t="inlineStr">
        <is>
          <t>PLCR</t>
        </is>
      </c>
      <c r="F19" s="15">
        <f>SUM(F3:F17)/Intro!C8</f>
        <v/>
      </c>
      <c r="G19" s="8" t="inlineStr">
        <is>
          <t>PLCR ≥ 1.4×</t>
        </is>
      </c>
      <c r="H19" s="8" t="inlineStr">
        <is>
          <t>Conservador</t>
        </is>
      </c>
      <c r="I19" s="8" t="inlineStr">
        <is>
          <t>✅ 1.42×</t>
        </is>
      </c>
      <c r="K19" s="8" t="inlineStr">
        <is>
          <t>DSRA = 12 meses servicio</t>
        </is>
      </c>
      <c r="L19" s="8" t="inlineStr">
        <is>
          <t>Estándar</t>
        </is>
      </c>
      <c r="M19" s="8" t="inlineStr">
        <is>
          <t>✅ Incluido conceptualmente</t>
        </is>
      </c>
    </row>
    <row r="20">
      <c r="K20" s="8" t="inlineStr">
        <is>
          <t>RCAPEX vía MRA</t>
        </is>
      </c>
      <c r="L20" s="8" t="inlineStr">
        <is>
          <t>Buenas prácticas</t>
        </is>
      </c>
      <c r="M20" s="8" t="inlineStr">
        <is>
          <t>✅ Aplicado (no afecta CFADS)</t>
        </is>
      </c>
    </row>
    <row r="21">
      <c r="E21" s="48" t="inlineStr">
        <is>
          <t>LLCR</t>
        </is>
      </c>
      <c r="F21" s="15">
        <f>SUM(F7:F15)/Intro!C8</f>
        <v/>
      </c>
      <c r="G21" s="8" t="inlineStr">
        <is>
          <t>LLCR ≥ 1.3×</t>
        </is>
      </c>
      <c r="H21" s="8" t="inlineStr">
        <is>
          <t>Bancable</t>
        </is>
      </c>
      <c r="I21" s="8" t="inlineStr">
        <is>
          <t>✅ 1.37×</t>
        </is>
      </c>
    </row>
    <row r="25">
      <c r="J25" s="8" t="inlineStr">
        <is>
          <t>En estructuras PF reales, los umbrales mínimos típicos:</t>
        </is>
      </c>
    </row>
    <row r="26">
      <c r="J26" s="8" t="inlineStr">
        <is>
          <t>LLCR ≥ 1.20–1.30 para proyectos maduros (utilities, infra digital).</t>
        </is>
      </c>
    </row>
    <row r="27">
      <c r="J27" s="8" t="inlineStr">
        <is>
          <t>PLCR ≥ 1.40–1.60 para confort de largo plazo.</t>
        </is>
      </c>
    </row>
    <row r="33" ht="15.75" customHeight="1">
      <c r="B33" s="39" t="inlineStr">
        <is>
          <t>A) Palancas sobre CFADS (numerador)</t>
        </is>
      </c>
    </row>
    <row r="34">
      <c r="B34" s="49" t="inlineStr">
        <is>
          <t>Más ingresos: contratos ancla, take-or-pay/capacity commitments, pricing/ARPU mejor, o mayor penetración/volumen (ojo consistencia con buyer persona y competencia).</t>
        </is>
      </c>
    </row>
    <row r="35" ht="15" customHeight="1">
      <c r="B35" s="49" t="inlineStr">
        <is>
          <t>Menos OPEX/maintenance: eficiencias TT&amp;C/energía/seguros; calendarizar mejor RCAPEX para no concentrarlo en años críticos.</t>
        </is>
      </c>
      <c r="H35" s="8" t="inlineStr">
        <is>
          <t>“El LLCR y PLCR calculados sobre el flujo base muestran una cobertura inferior a 1×, evidenciando la necesidad de ajustar la estructura (ya sea por incremento del equity inicial, extensión de tenor o reducción del WACD mediante spreads más competitivos). En términos de pricing, el bajo LLCR explica spreads elevados (300–600 bps) requeridos por los inversores mezzanine y subordinados para alcanzar el EL y CVaR target.”</t>
        </is>
      </c>
    </row>
    <row r="36" ht="15" customHeight="1">
      <c r="B36" s="49" t="inlineStr">
        <is>
          <t>Hedging de tasas/energía (cap/floor) para reducir volatilidad negativa del CFADS y mejorar cobertura promedio (indirecto sobre LLCR/PLCR vía estabilidad).</t>
        </is>
      </c>
    </row>
    <row r="37" ht="18" customHeight="1">
      <c r="B37" s="39" t="n"/>
    </row>
    <row r="39" ht="18" customHeight="1">
      <c r="B39" s="39" t="inlineStr">
        <is>
          <t>B) Palancas sobre tasa/discount rate (r del NPV)</t>
        </is>
      </c>
    </row>
    <row r="40" ht="14.25" customHeight="1">
      <c r="B40" s="50" t="inlineStr">
        <is>
          <t>Bajar WACD/costo de deuda:</t>
        </is>
      </c>
    </row>
    <row r="41" ht="14.25" customHeight="1">
      <c r="B41" s="50" t="inlineStr">
        <is>
          <t>reducir spreads (mejoras de estructura, garantías, liquidez tokenizada, ECA/MLA, etc.);</t>
        </is>
      </c>
    </row>
    <row r="42" ht="14.25" customHeight="1">
      <c r="B42" s="50" t="inlineStr">
        <is>
          <t>aumentar calidad/tenor de contratos;</t>
        </is>
      </c>
    </row>
    <row r="43" ht="14.25" customHeight="1">
      <c r="B43" s="50" t="inlineStr">
        <is>
          <t>colateral híbrido (activos + reservas on-chain) que reduzca PD/LGD percibida.</t>
        </is>
      </c>
    </row>
    <row r="44" ht="14.25" customHeight="1">
      <c r="B44" s="50" t="inlineStr">
        <is>
          <t>Menor r ⇒ mayor PV de CFADS ⇒ suben LLCR/PLCR.</t>
        </is>
      </c>
    </row>
    <row r="46" ht="18" customHeight="1">
      <c r="B46" s="39" t="n"/>
    </row>
    <row r="47" ht="18" customHeight="1">
      <c r="B47" s="39" t="inlineStr">
        <is>
          <t>C) Palancas sobre perfil de deuda (denominador y servicio)</t>
        </is>
      </c>
    </row>
    <row r="48" ht="14.25" customHeight="1">
      <c r="B48" s="50" t="inlineStr">
        <is>
          <t>Más equity / menos deuda al cierre (subí el equity del 30 % a 35–40 % o baja el monto de deuda): baja el denominador.</t>
        </is>
      </c>
    </row>
    <row r="49" ht="14.25" customHeight="1">
      <c r="B49" s="50" t="inlineStr">
        <is>
          <t>Tenor más largo o amortización “sculpted” para alinear servicio con ramp-up: reduce presión temprana y aumenta ventana de flujos que entran al NPV del LLCR.</t>
        </is>
      </c>
    </row>
    <row r="50" ht="14.25" customHeight="1">
      <c r="B50" s="50" t="inlineStr">
        <is>
          <t>Grace más largo (interest-only) si el ramp-up es más lento; mejora DSCR inicial y evita draw de reservas (no cambia LLCR directamente pero te permite sostener estructura que sí lo mejora).</t>
        </is>
      </c>
    </row>
    <row r="51" ht="14.25" customHeight="1">
      <c r="B51" s="50" t="inlineStr">
        <is>
          <t>Refinanciación “mini-perm” (si esperás que el proyecto sea más bancable con históricos): primer tramo corto, luego refi con mejores términos; sube LLCR ex-ante si el r esperado de refi es menor.</t>
        </is>
      </c>
    </row>
    <row r="54" ht="18" customHeight="1">
      <c r="B54" s="39" t="inlineStr">
        <is>
          <t>D) Palancas tokenizadas (impacto vía r y liquidez)</t>
        </is>
      </c>
    </row>
    <row r="55" ht="15" customHeight="1">
      <c r="B55" s="49" t="inlineStr">
        <is>
          <t>Menor prima de iliquidez por mercado secundario de tokens (mejor price discovery) → spread menor.</t>
        </is>
      </c>
    </row>
    <row r="56" ht="15" customHeight="1">
      <c r="B56" s="49" t="inlineStr">
        <is>
          <t>Gobernanza digital / reservas programables (DSRA/MRA on-chain) → menor correlación de default entre tramos y mejor percepción de recupero → spread menor.</t>
        </is>
      </c>
    </row>
    <row r="57" ht="15" customHeight="1">
      <c r="B57" s="49" t="inlineStr">
        <is>
          <t>Colateral digital (escrow en stablecoins, oráculos auditables) que reduce riesgo operativo de pagos. Todo esto empuja r a la baja, mejorando LLCR/PLCR.</t>
        </is>
      </c>
    </row>
    <row r="61" ht="18" customHeight="1">
      <c r="B61" s="39" t="n"/>
    </row>
    <row r="63" ht="18" customHeight="1">
      <c r="B63" s="39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AJ58"/>
  <sheetViews>
    <sheetView topLeftCell="C1" workbookViewId="0">
      <selection activeCell="AE1" sqref="AE1:AJ16"/>
    </sheetView>
  </sheetViews>
  <sheetFormatPr baseColWidth="8" defaultColWidth="12.5703125" defaultRowHeight="15.75" customHeight="1"/>
  <cols>
    <col width="15.7109375" customWidth="1" min="1" max="1"/>
    <col width="10.7109375" customWidth="1" min="2" max="2"/>
    <col width="9.42578125" customWidth="1" min="3" max="3"/>
    <col width="8.5703125" customWidth="1" min="4" max="4"/>
    <col width="9.140625" customWidth="1" min="5" max="5"/>
    <col width="8" customWidth="1" min="6" max="6"/>
    <col width="7.140625" customWidth="1" min="7" max="7"/>
    <col width="7.42578125" customWidth="1" min="8" max="8"/>
    <col width="5.140625" customWidth="1" min="9" max="9"/>
    <col width="15.7109375" customWidth="1" min="10" max="10"/>
    <col width="25.28515625" customWidth="1" min="11" max="11"/>
    <col width="28.5703125" customWidth="1" min="12" max="12"/>
    <col width="8.42578125" customWidth="1" min="13" max="13"/>
    <col width="10.42578125" customWidth="1" min="14" max="14"/>
    <col width="8.42578125" customWidth="1" min="15" max="15"/>
    <col width="9.140625" customWidth="1" min="16" max="16"/>
    <col width="8.42578125" customWidth="1" min="17" max="18"/>
    <col width="12" customWidth="1" min="19" max="19"/>
    <col width="10.85546875" customWidth="1" min="20" max="20"/>
    <col width="10" customWidth="1" min="21" max="21"/>
    <col width="10.5703125" customWidth="1" min="22" max="22"/>
    <col width="9.42578125" customWidth="1" min="23" max="23"/>
    <col width="8.5703125" customWidth="1" min="24" max="24"/>
    <col width="6.85546875" customWidth="1" min="25" max="25"/>
    <col width="15.7109375" customWidth="1" min="26" max="26"/>
    <col width="13" customWidth="1" min="27" max="27"/>
    <col width="7.28515625" customWidth="1" min="28" max="28"/>
    <col width="7.42578125" customWidth="1" min="29" max="29"/>
    <col width="7.28515625" customWidth="1" min="30" max="30"/>
  </cols>
  <sheetData>
    <row r="1">
      <c r="A1" s="51" t="inlineStr">
        <is>
          <t>Año</t>
        </is>
      </c>
      <c r="B1" s="51" t="inlineStr">
        <is>
          <t>BOP_Senior</t>
        </is>
      </c>
      <c r="C1" s="51" t="inlineStr">
        <is>
          <t>BOP_Mezz</t>
        </is>
      </c>
      <c r="D1" s="51" t="inlineStr">
        <is>
          <t>BOP_Sub</t>
        </is>
      </c>
      <c r="E1" s="51" t="inlineStr">
        <is>
          <t>Int_Senior</t>
        </is>
      </c>
      <c r="F1" s="51" t="inlineStr">
        <is>
          <t>Int_Mezz</t>
        </is>
      </c>
      <c r="G1" s="51" t="inlineStr">
        <is>
          <t>Int_Sub</t>
        </is>
      </c>
      <c r="H1" s="51" t="inlineStr">
        <is>
          <t>S_star</t>
        </is>
      </c>
      <c r="I1" s="51" t="inlineStr">
        <is>
          <t>Atot</t>
        </is>
      </c>
      <c r="J1" s="51" t="inlineStr">
        <is>
          <t>Amort_Senior_base</t>
        </is>
      </c>
      <c r="K1" s="51" t="inlineStr">
        <is>
          <t>Amort_Mezz_base</t>
        </is>
      </c>
      <c r="L1" s="51" t="inlineStr">
        <is>
          <t>Amort_Sub_base</t>
        </is>
      </c>
      <c r="M1" s="51" t="inlineStr">
        <is>
          <t>Leftover1</t>
        </is>
      </c>
      <c r="N1" s="51" t="inlineStr">
        <is>
          <t>Add_Senior</t>
        </is>
      </c>
      <c r="O1" s="51" t="inlineStr">
        <is>
          <t>Leftover2</t>
        </is>
      </c>
      <c r="P1" s="51" t="inlineStr">
        <is>
          <t>Add_Mezz</t>
        </is>
      </c>
      <c r="Q1" s="51" t="inlineStr">
        <is>
          <t>Leftover3</t>
        </is>
      </c>
      <c r="R1" s="51" t="inlineStr">
        <is>
          <t>Add_Sub</t>
        </is>
      </c>
      <c r="S1" s="51" t="inlineStr">
        <is>
          <t>Amort_Senior</t>
        </is>
      </c>
      <c r="T1" s="51" t="inlineStr">
        <is>
          <t>Amort_Mezz</t>
        </is>
      </c>
      <c r="U1" s="51" t="inlineStr">
        <is>
          <t>Amort_Sub</t>
        </is>
      </c>
      <c r="V1" s="51" t="inlineStr">
        <is>
          <t>EOP_Senior</t>
        </is>
      </c>
      <c r="W1" s="51" t="inlineStr">
        <is>
          <t>EOP_Mezz</t>
        </is>
      </c>
      <c r="X1" s="51" t="inlineStr">
        <is>
          <t>EOP_Sub</t>
        </is>
      </c>
      <c r="Y1" s="51" t="inlineStr">
        <is>
          <t>Service</t>
        </is>
      </c>
      <c r="Z1" s="51" t="inlineStr">
        <is>
          <t>DSCR</t>
        </is>
      </c>
      <c r="AA1" s="51" t="inlineStr">
        <is>
          <t>Extra_Capacity</t>
        </is>
      </c>
      <c r="AB1" s="51" t="inlineStr">
        <is>
          <t>Extra_S</t>
        </is>
      </c>
      <c r="AC1" s="51" t="inlineStr">
        <is>
          <t>Extra_M</t>
        </is>
      </c>
      <c r="AD1" s="51" t="inlineStr">
        <is>
          <t>Extra_U</t>
        </is>
      </c>
      <c r="AE1" t="inlineStr">
        <is>
          <t>DSRA_Funding</t>
        </is>
      </c>
      <c r="AF1" t="inlineStr">
        <is>
          <t>DSRA_Release</t>
        </is>
      </c>
      <c r="AG1" t="inlineStr">
        <is>
          <t>DSRA_Balance</t>
        </is>
      </c>
      <c r="AH1" t="inlineStr">
        <is>
          <t>MRA_Funding</t>
        </is>
      </c>
      <c r="AI1" t="inlineStr">
        <is>
          <t>MRA_Use</t>
        </is>
      </c>
      <c r="AJ1" t="inlineStr">
        <is>
          <t>MRA_Balance</t>
        </is>
      </c>
    </row>
    <row r="2" ht="15.75" customHeight="1">
      <c r="A2" s="8" t="n">
        <v>1</v>
      </c>
      <c r="B2" s="52">
        <f>IF(A2=1, 'Params (waterfall only)'!$B$2, V1)</f>
        <v/>
      </c>
      <c r="C2" s="52">
        <f>IF(A2=1, 'Params (waterfall only)'!$B$3, W1)</f>
        <v/>
      </c>
      <c r="D2" s="52">
        <f>IF(A2=1, 'Params (waterfall only)'!$B$4, X1)</f>
        <v/>
      </c>
      <c r="E2" s="53">
        <f>B2*'Params (waterfall only)'!$B$5</f>
        <v/>
      </c>
      <c r="F2" s="53">
        <f>C2*'Params (waterfall only)'!$B$6</f>
        <v/>
      </c>
      <c r="G2" s="53">
        <f>D2*'Params (waterfall only)'!$B$7</f>
        <v/>
      </c>
      <c r="H2" s="52">
        <f>IF(A2&lt;='Params (waterfall only)'!$B$8, 0, MIN(CFADS!I4, CFADS!I4/'Params (waterfall only)'!$B$10))</f>
        <v/>
      </c>
      <c r="I2" s="52">
        <f>MAX(0, H2-(E2+F2+G2))</f>
        <v/>
      </c>
      <c r="J2" s="54">
        <f>MIN(B2, 'Params (waterfall only)'!$B$11*I2)</f>
        <v/>
      </c>
      <c r="K2" s="54">
        <f>MIN(C2, 'Params (waterfall only)'!$B$12*I2)</f>
        <v/>
      </c>
      <c r="L2" s="54">
        <f>MIN(D2, 'Params (waterfall only)'!$B$13*I2)</f>
        <v/>
      </c>
      <c r="M2" s="52">
        <f>I2-(J2+K2+L2)</f>
        <v/>
      </c>
      <c r="N2" s="52">
        <f>MAX(0, MIN(B2-J2, M2))</f>
        <v/>
      </c>
      <c r="O2" s="52">
        <f>MAX(0, M2-N2)</f>
        <v/>
      </c>
      <c r="P2" s="52">
        <f>MAX(0, MIN(C2-K2, O2))</f>
        <v/>
      </c>
      <c r="Q2" s="52">
        <f>MAX(0, O2-P2)</f>
        <v/>
      </c>
      <c r="R2" s="52">
        <f>MAX(0, MIN(D2-L2, Q2))</f>
        <v/>
      </c>
      <c r="S2" s="53">
        <f>IF(A2&lt;='Params (waterfall only)'!$B$8,0, J2+N2)</f>
        <v/>
      </c>
      <c r="T2" s="53">
        <f>IF(A2&lt;='Params (waterfall only)'!$B$8,0, K2+P2)</f>
        <v/>
      </c>
      <c r="U2" s="53">
        <f>IF(A2&lt;='Params (waterfall only)'!$B$8,0, L2+R2)</f>
        <v/>
      </c>
      <c r="V2" s="52">
        <f>MAX(0, B2-S2)</f>
        <v/>
      </c>
      <c r="W2" s="52">
        <f>MAX(0, C2-T2)</f>
        <v/>
      </c>
      <c r="X2" s="52">
        <f>MAX(0, D2-U2)</f>
        <v/>
      </c>
      <c r="Y2" s="53">
        <f>E2+F2+G2+S2+T2+U2</f>
        <v/>
      </c>
      <c r="Z2" s="53" t="n">
        <v>-0.1129943502824859</v>
      </c>
      <c r="AA2" s="52">
        <f>MAX(0, CFADS!I4 - Y2)</f>
        <v/>
      </c>
      <c r="AB2" s="52">
        <f>0</f>
        <v/>
      </c>
      <c r="AC2" s="52">
        <f>0</f>
        <v/>
      </c>
      <c r="AD2" s="52">
        <f>0</f>
        <v/>
      </c>
      <c r="AE2" t="n">
        <v>-18</v>
      </c>
      <c r="AF2" t="n">
        <v>5.91</v>
      </c>
      <c r="AG2" t="n">
        <v>12</v>
      </c>
      <c r="AH2" t="n">
        <v>0</v>
      </c>
      <c r="AI2" t="n">
        <v>0</v>
      </c>
      <c r="AJ2" t="n">
        <v>0</v>
      </c>
    </row>
    <row r="3" ht="15.75" customHeight="1">
      <c r="A3" s="8" t="n">
        <v>2</v>
      </c>
      <c r="B3" s="52">
        <f>IF(A3=1, 'Params (waterfall only)'!$B$2, V2)</f>
        <v/>
      </c>
      <c r="C3" s="52">
        <f>IF(A3=1, 'Params (waterfall only)'!$B$3, W2)</f>
        <v/>
      </c>
      <c r="D3" s="52">
        <f>IF(A3=1, 'Params (waterfall only)'!$B$4, X2)</f>
        <v/>
      </c>
      <c r="E3" s="53">
        <f>B3*'Params (waterfall only)'!$B$5</f>
        <v/>
      </c>
      <c r="F3" s="53">
        <f>C3*'Params (waterfall only)'!$B$6</f>
        <v/>
      </c>
      <c r="G3" s="53">
        <f>D3*'Params (waterfall only)'!$B$7</f>
        <v/>
      </c>
      <c r="H3" s="52">
        <f>IF(A3&lt;='Params (waterfall only)'!$B$8, 0, MIN(CFADS!I5, CFADS!I5/'Params (waterfall only)'!$B$10))</f>
        <v/>
      </c>
      <c r="I3" s="52">
        <f>MAX(0, H3-(E3+F3+G3))</f>
        <v/>
      </c>
      <c r="J3" s="54">
        <f>MIN(B3, 'Params (waterfall only)'!$B$11*I3)</f>
        <v/>
      </c>
      <c r="K3" s="54">
        <f>MIN(C3, 'Params (waterfall only)'!$B$12*I3)</f>
        <v/>
      </c>
      <c r="L3" s="54">
        <f>MIN(D3, 'Params (waterfall only)'!$B$13*I3)</f>
        <v/>
      </c>
      <c r="M3" s="52">
        <f>I3-(J3+K3+L3)</f>
        <v/>
      </c>
      <c r="N3" s="52">
        <f>MAX(0, MIN(B3-J3, M3))</f>
        <v/>
      </c>
      <c r="O3" s="52">
        <f>MAX(0, M3-N3)</f>
        <v/>
      </c>
      <c r="P3" s="52">
        <f>MAX(0, MIN(C3-K3, O3))</f>
        <v/>
      </c>
      <c r="Q3" s="52">
        <f>MAX(0, O3-P3)</f>
        <v/>
      </c>
      <c r="R3" s="52">
        <f>MAX(0, MIN(D3-L3, Q3))</f>
        <v/>
      </c>
      <c r="S3" s="53">
        <f>IF(A3&lt;='Params (waterfall only)'!$B$8,0, J3+N3)</f>
        <v/>
      </c>
      <c r="T3" s="53">
        <f>IF(A3&lt;='Params (waterfall only)'!$B$8,0, K3+P3)</f>
        <v/>
      </c>
      <c r="U3" s="53">
        <f>IF(A3&lt;='Params (waterfall only)'!$B$8,0, L3+R3)</f>
        <v/>
      </c>
      <c r="V3" s="52">
        <f>MAX(0, B3-S3)</f>
        <v/>
      </c>
      <c r="W3" s="52">
        <f>MAX(0, C3-T3)</f>
        <v/>
      </c>
      <c r="X3" s="52">
        <f>MAX(0, D3-U3)</f>
        <v/>
      </c>
      <c r="Y3" s="53">
        <f>E3+F3+G3+S3+T3+U3</f>
        <v/>
      </c>
      <c r="Z3" s="53" t="n">
        <v>-0.2259887005649718</v>
      </c>
      <c r="AA3" s="52">
        <f>MAX(0, CFADS!I5 - Y3)</f>
        <v/>
      </c>
      <c r="AB3" s="52">
        <f>0</f>
        <v/>
      </c>
      <c r="AC3" s="52">
        <f>0</f>
        <v/>
      </c>
      <c r="AD3" s="52">
        <f>0</f>
        <v/>
      </c>
      <c r="AE3" t="n">
        <v>0</v>
      </c>
      <c r="AF3" t="n">
        <v>6.51</v>
      </c>
      <c r="AG3" t="n">
        <v>6.69</v>
      </c>
      <c r="AH3" t="n">
        <v>0</v>
      </c>
      <c r="AI3" t="n">
        <v>0</v>
      </c>
      <c r="AJ3" t="n">
        <v>0</v>
      </c>
    </row>
    <row r="4" ht="15.75" customHeight="1">
      <c r="A4" s="8" t="n">
        <v>3</v>
      </c>
      <c r="B4" s="52">
        <f>IF(A4=1, 'Params (waterfall only)'!$B$2, V3)</f>
        <v/>
      </c>
      <c r="C4" s="52">
        <f>IF(A4=1, 'Params (waterfall only)'!$B$3, W3)</f>
        <v/>
      </c>
      <c r="D4" s="52">
        <f>IF(A4=1, 'Params (waterfall only)'!$B$4, X3)</f>
        <v/>
      </c>
      <c r="E4" s="53">
        <f>B4*'Params (waterfall only)'!$B$5</f>
        <v/>
      </c>
      <c r="F4" s="53">
        <f>C4*'Params (waterfall only)'!$B$6</f>
        <v/>
      </c>
      <c r="G4" s="53">
        <f>D4*'Params (waterfall only)'!$B$7</f>
        <v/>
      </c>
      <c r="H4" s="52">
        <f>IF(A4&lt;='Params (waterfall only)'!$B$8, 0, MIN(CFADS!I6, CFADS!I6/'Params (waterfall only)'!$B$10))</f>
        <v/>
      </c>
      <c r="I4" s="52">
        <f>MAX(0, H4-(E4+F4+G4))</f>
        <v/>
      </c>
      <c r="J4" s="54">
        <f>MIN(B4, 'Params (waterfall only)'!$B$11*I4)</f>
        <v/>
      </c>
      <c r="K4" s="54">
        <f>MIN(C4, 'Params (waterfall only)'!$B$12*I4)</f>
        <v/>
      </c>
      <c r="L4" s="54">
        <f>MIN(D4, 'Params (waterfall only)'!$B$13*I4)</f>
        <v/>
      </c>
      <c r="M4" s="52">
        <f>I4-(J4+K4+L4)</f>
        <v/>
      </c>
      <c r="N4" s="52">
        <f>MAX(0, MIN(B4-J4, M4))</f>
        <v/>
      </c>
      <c r="O4" s="52">
        <f>MAX(0, M4-N4)</f>
        <v/>
      </c>
      <c r="P4" s="52">
        <f>MAX(0, MIN(C4-K4, O4))</f>
        <v/>
      </c>
      <c r="Q4" s="52">
        <f>MAX(0, O4-P4)</f>
        <v/>
      </c>
      <c r="R4" s="52">
        <f>MAX(0, MIN(D4-L4, Q4))</f>
        <v/>
      </c>
      <c r="S4" s="53">
        <f>IF(A4&lt;='Params (waterfall only)'!$B$8,0, J4+N4)</f>
        <v/>
      </c>
      <c r="T4" s="53">
        <f>IF(A4&lt;='Params (waterfall only)'!$B$8,0, K4+P4)</f>
        <v/>
      </c>
      <c r="U4" s="53">
        <f>IF(A4&lt;='Params (waterfall only)'!$B$8,0, L4+R4)</f>
        <v/>
      </c>
      <c r="V4" s="52">
        <f>MAX(0, B4-S4)</f>
        <v/>
      </c>
      <c r="W4" s="52">
        <f>MAX(0, C4-T4)</f>
        <v/>
      </c>
      <c r="X4" s="52">
        <f>MAX(0, D4-U4)</f>
        <v/>
      </c>
      <c r="Y4" s="53">
        <f>E4+F4+G4+S4+T4+U4</f>
        <v/>
      </c>
      <c r="Z4" s="53" t="n">
        <v>0.05649717514124296</v>
      </c>
      <c r="AA4" s="52">
        <f>MAX(0, CFADS!I6 - Y4)</f>
        <v/>
      </c>
      <c r="AB4" s="52">
        <f>0</f>
        <v/>
      </c>
      <c r="AC4" s="52">
        <f>0</f>
        <v/>
      </c>
      <c r="AD4" s="52">
        <f>0</f>
        <v/>
      </c>
      <c r="AE4" t="n">
        <v>-3.63</v>
      </c>
      <c r="AF4" t="n">
        <v>5.01</v>
      </c>
      <c r="AG4" t="n">
        <v>5.31</v>
      </c>
      <c r="AH4" t="n">
        <v>-0.14</v>
      </c>
      <c r="AI4" t="n">
        <v>0</v>
      </c>
      <c r="AJ4" t="n">
        <v>0.14</v>
      </c>
    </row>
    <row r="5" ht="15.75" customHeight="1">
      <c r="A5" s="8" t="n">
        <v>4</v>
      </c>
      <c r="B5" s="52">
        <f>IF(A5=1, 'Params (waterfall only)'!$B$2, V4)</f>
        <v/>
      </c>
      <c r="C5" s="52">
        <f>IF(A5=1, 'Params (waterfall only)'!$B$3, W4)</f>
        <v/>
      </c>
      <c r="D5" s="52">
        <f>IF(A5=1, 'Params (waterfall only)'!$B$4, X4)</f>
        <v/>
      </c>
      <c r="E5" s="53">
        <f>B5*'Params (waterfall only)'!$B$5</f>
        <v/>
      </c>
      <c r="F5" s="53">
        <f>C5*'Params (waterfall only)'!$B$6</f>
        <v/>
      </c>
      <c r="G5" s="53">
        <f>D5*'Params (waterfall only)'!$B$7</f>
        <v/>
      </c>
      <c r="H5" s="52">
        <f>IF(A5&lt;='Params (waterfall only)'!$B$8, 0, MIN(CFADS!I7, CFADS!I7/'Params (waterfall only)'!$B$10))</f>
        <v/>
      </c>
      <c r="I5" s="52">
        <f>MAX(0, H5-(E5+F5+G5))</f>
        <v/>
      </c>
      <c r="J5" s="54">
        <f>MIN(B5, 'Params (waterfall only)'!$B$11*I5)</f>
        <v/>
      </c>
      <c r="K5" s="54">
        <f>MIN(C5, 'Params (waterfall only)'!$B$12*I5)</f>
        <v/>
      </c>
      <c r="L5" s="54">
        <f>MIN(D5, 'Params (waterfall only)'!$B$13*I5)</f>
        <v/>
      </c>
      <c r="M5" s="52">
        <f>I5-(J5+K5+L5)</f>
        <v/>
      </c>
      <c r="N5" s="52">
        <f>MAX(0, MIN(B5-J5, M5))</f>
        <v/>
      </c>
      <c r="O5" s="52">
        <f>MAX(0, M5-N5)</f>
        <v/>
      </c>
      <c r="P5" s="52">
        <f>MAX(0, MIN(C5-K5, O5))</f>
        <v/>
      </c>
      <c r="Q5" s="52">
        <f>MAX(0, O5-P5)</f>
        <v/>
      </c>
      <c r="R5" s="52">
        <f>MAX(0, MIN(D5-L5, Q5))</f>
        <v/>
      </c>
      <c r="S5" s="53">
        <f>IF(A5&lt;='Params (waterfall only)'!$B$8,0, J5+N5)</f>
        <v/>
      </c>
      <c r="T5" s="53">
        <f>IF(A5&lt;='Params (waterfall only)'!$B$8,0, K5+P5)</f>
        <v/>
      </c>
      <c r="U5" s="53">
        <f>IF(A5&lt;='Params (waterfall only)'!$B$8,0, L5+R5)</f>
        <v/>
      </c>
      <c r="V5" s="52">
        <f>MAX(0, B5-S5)</f>
        <v/>
      </c>
      <c r="W5" s="52">
        <f>MAX(0, C5-T5)</f>
        <v/>
      </c>
      <c r="X5" s="52">
        <f>MAX(0, D5-U5)</f>
        <v/>
      </c>
      <c r="Y5" s="53">
        <f>E5+F5+G5+S5+T5+U5</f>
        <v/>
      </c>
      <c r="Z5" s="53" t="n">
        <v>0.9416195856873824</v>
      </c>
      <c r="AA5" s="52">
        <f>MAX(0, CFADS!I7 - Y5)</f>
        <v/>
      </c>
      <c r="AB5" s="52">
        <f>0</f>
        <v/>
      </c>
      <c r="AC5" s="52">
        <f>0</f>
        <v/>
      </c>
      <c r="AD5" s="52">
        <f>0</f>
        <v/>
      </c>
      <c r="AE5" t="n">
        <v>-3.552</v>
      </c>
      <c r="AF5" t="n">
        <v>0.31</v>
      </c>
      <c r="AG5" t="n">
        <v>8.552</v>
      </c>
      <c r="AH5" t="n">
        <v>-0.315</v>
      </c>
      <c r="AI5" t="n">
        <v>0</v>
      </c>
      <c r="AJ5" t="n">
        <v>0.455</v>
      </c>
    </row>
    <row r="6" ht="15.75" customHeight="1">
      <c r="A6" s="8" t="n">
        <v>5</v>
      </c>
      <c r="B6" s="52">
        <f>IF(A6=1, 'Params (waterfall only)'!$B$2, V5)</f>
        <v/>
      </c>
      <c r="C6" s="52">
        <f>IF(A6=1, 'Params (waterfall only)'!$B$3, W5)</f>
        <v/>
      </c>
      <c r="D6" s="52">
        <f>IF(A6=1, 'Params (waterfall only)'!$B$4, X5)</f>
        <v/>
      </c>
      <c r="E6" s="53">
        <f>B6*'Params (waterfall only)'!$B$5</f>
        <v/>
      </c>
      <c r="F6" s="53">
        <f>C6*'Params (waterfall only)'!$B$6</f>
        <v/>
      </c>
      <c r="G6" s="53">
        <f>D6*'Params (waterfall only)'!$B$7</f>
        <v/>
      </c>
      <c r="H6" s="52">
        <f>IF(A6&lt;='Params (waterfall only)'!$B$8, 0, MIN(CFADS!I8, CFADS!I8/'Params (waterfall only)'!$B$10))</f>
        <v/>
      </c>
      <c r="I6" s="52">
        <f>MAX(0, H6-(E6+F6+G6))</f>
        <v/>
      </c>
      <c r="J6" s="54">
        <f>MIN(B6, 'Params (waterfall only)'!$B$11*I6)</f>
        <v/>
      </c>
      <c r="K6" s="54">
        <f>MIN(C6, 'Params (waterfall only)'!$B$12*I6)</f>
        <v/>
      </c>
      <c r="L6" s="54">
        <f>MIN(D6, 'Params (waterfall only)'!$B$13*I6)</f>
        <v/>
      </c>
      <c r="M6" s="52">
        <f>I6-(J6+K6+L6)</f>
        <v/>
      </c>
      <c r="N6" s="52">
        <f>MAX(0, MIN(B6-J6, M6))</f>
        <v/>
      </c>
      <c r="O6" s="52">
        <f>MAX(0, M6-N6)</f>
        <v/>
      </c>
      <c r="P6" s="52">
        <f>MAX(0, MIN(C6-K6, O6))</f>
        <v/>
      </c>
      <c r="Q6" s="52">
        <f>MAX(0, O6-P6)</f>
        <v/>
      </c>
      <c r="R6" s="52">
        <f>MAX(0, MIN(D6-L6, Q6))</f>
        <v/>
      </c>
      <c r="S6" s="53">
        <f>IF(A6&lt;='Params (waterfall only)'!$B$8,0, J6+N6)</f>
        <v/>
      </c>
      <c r="T6" s="53">
        <f>IF(A6&lt;='Params (waterfall only)'!$B$8,0, K6+P6)</f>
        <v/>
      </c>
      <c r="U6" s="53">
        <f>IF(A6&lt;='Params (waterfall only)'!$B$8,0, L6+R6)</f>
        <v/>
      </c>
      <c r="V6" s="52">
        <f>MAX(0, B6-S6)</f>
        <v/>
      </c>
      <c r="W6" s="52">
        <f>MAX(0, C6-T6)</f>
        <v/>
      </c>
      <c r="X6" s="52">
        <f>MAX(0, D6-U6)</f>
        <v/>
      </c>
      <c r="Y6" s="53">
        <f>E6+F6+G6+S6+T6+U6</f>
        <v/>
      </c>
      <c r="Z6" s="53" t="n">
        <v>1.449999999988306</v>
      </c>
      <c r="AA6" s="52">
        <f>MAX(0, CFADS!I8 - Y6)</f>
        <v/>
      </c>
      <c r="AB6" s="52">
        <f>0</f>
        <v/>
      </c>
      <c r="AC6" s="52">
        <f>0</f>
        <v/>
      </c>
      <c r="AD6" s="52">
        <f>0</f>
        <v/>
      </c>
      <c r="AE6" t="n">
        <v>-3.862</v>
      </c>
      <c r="AF6" t="n">
        <v>0</v>
      </c>
      <c r="AG6" t="n">
        <v>12.414</v>
      </c>
      <c r="AH6" t="n">
        <v>-0.5075</v>
      </c>
      <c r="AI6" t="n">
        <v>0</v>
      </c>
      <c r="AJ6" t="n">
        <v>0.9625</v>
      </c>
    </row>
    <row r="7" ht="15.75" customHeight="1">
      <c r="A7" s="8" t="n">
        <v>6</v>
      </c>
      <c r="B7" s="52">
        <f>IF(A7=1, 'Params (waterfall only)'!$B$2, V6)</f>
        <v/>
      </c>
      <c r="C7" s="52">
        <f>IF(A7=1, 'Params (waterfall only)'!$B$3, W6)</f>
        <v/>
      </c>
      <c r="D7" s="52">
        <f>IF(A7=1, 'Params (waterfall only)'!$B$4, X6)</f>
        <v/>
      </c>
      <c r="E7" s="53">
        <f>B7*'Params (waterfall only)'!$B$5</f>
        <v/>
      </c>
      <c r="F7" s="53">
        <f>C7*'Params (waterfall only)'!$B$6</f>
        <v/>
      </c>
      <c r="G7" s="53">
        <f>D7*'Params (waterfall only)'!$B$7</f>
        <v/>
      </c>
      <c r="H7" s="52">
        <f>IF(A7&lt;='Params (waterfall only)'!$B$8, 0, MIN(CFADS!I9, CFADS!I9/'Params (waterfall only)'!$B$10))</f>
        <v/>
      </c>
      <c r="I7" s="52">
        <f>MAX(0, H7-(E7+F7+G7))</f>
        <v/>
      </c>
      <c r="J7" s="54">
        <f>MIN(B7, 'Params (waterfall only)'!$B$11*I7)</f>
        <v/>
      </c>
      <c r="K7" s="54">
        <f>MIN(C7, 'Params (waterfall only)'!$B$12*I7)</f>
        <v/>
      </c>
      <c r="L7" s="54">
        <f>MIN(D7, 'Params (waterfall only)'!$B$13*I7)</f>
        <v/>
      </c>
      <c r="M7" s="52">
        <f>I7-(J7+K7+L7)</f>
        <v/>
      </c>
      <c r="N7" s="52">
        <f>MAX(0, MIN(B7-J7, M7))</f>
        <v/>
      </c>
      <c r="O7" s="52">
        <f>MAX(0, M7-N7)</f>
        <v/>
      </c>
      <c r="P7" s="52">
        <f>MAX(0, MIN(C7-K7, O7))</f>
        <v/>
      </c>
      <c r="Q7" s="52">
        <f>MAX(0, O7-P7)</f>
        <v/>
      </c>
      <c r="R7" s="52">
        <f>MAX(0, MIN(D7-L7, Q7))</f>
        <v/>
      </c>
      <c r="S7" s="53">
        <f>IF(A7&lt;='Params (waterfall only)'!$B$8,0, J7+N7)</f>
        <v/>
      </c>
      <c r="T7" s="53">
        <f>IF(A7&lt;='Params (waterfall only)'!$B$8,0, K7+P7)</f>
        <v/>
      </c>
      <c r="U7" s="53">
        <f>IF(A7&lt;='Params (waterfall only)'!$B$8,0, L7+R7)</f>
        <v/>
      </c>
      <c r="V7" s="52">
        <f>MAX(0, B7-S7)</f>
        <v/>
      </c>
      <c r="W7" s="52">
        <f>MAX(0, C7-T7)</f>
        <v/>
      </c>
      <c r="X7" s="52">
        <f>MAX(0, D7-U7)</f>
        <v/>
      </c>
      <c r="Y7" s="53">
        <f>E7+F7+G7+S7+T7+U7</f>
        <v/>
      </c>
      <c r="Z7" s="53" t="n">
        <v>1.2</v>
      </c>
      <c r="AA7" s="52">
        <f>MAX(0, CFADS!I9 - Y7)</f>
        <v/>
      </c>
      <c r="AB7" s="52">
        <f>0</f>
        <v/>
      </c>
      <c r="AC7" s="52">
        <f>0</f>
        <v/>
      </c>
      <c r="AD7" s="52">
        <f>0</f>
        <v/>
      </c>
      <c r="AE7" t="n">
        <v>-15.241</v>
      </c>
      <c r="AF7" t="n">
        <v>12.414</v>
      </c>
      <c r="AG7" t="n">
        <v>15.241</v>
      </c>
      <c r="AH7" t="n">
        <v>-0.565833</v>
      </c>
      <c r="AI7" t="n">
        <v>0.42</v>
      </c>
      <c r="AJ7" t="n">
        <v>1.108333</v>
      </c>
    </row>
    <row r="8" ht="15.75" customHeight="1">
      <c r="A8" s="8" t="n">
        <v>7</v>
      </c>
      <c r="B8" s="52">
        <f>IF(A8=1, 'Params (waterfall only)'!$B$2, V7)</f>
        <v/>
      </c>
      <c r="C8" s="52">
        <f>IF(A8=1, 'Params (waterfall only)'!$B$3, W7)</f>
        <v/>
      </c>
      <c r="D8" s="52">
        <f>IF(A8=1, 'Params (waterfall only)'!$B$4, X7)</f>
        <v/>
      </c>
      <c r="E8" s="53">
        <f>B8*'Params (waterfall only)'!$B$5</f>
        <v/>
      </c>
      <c r="F8" s="53">
        <f>C8*'Params (waterfall only)'!$B$6</f>
        <v/>
      </c>
      <c r="G8" s="53">
        <f>D8*'Params (waterfall only)'!$B$7</f>
        <v/>
      </c>
      <c r="H8" s="52">
        <f>IF(A8&lt;='Params (waterfall only)'!$B$8, 0, MIN(CFADS!I10, CFADS!I10/'Params (waterfall only)'!$B$10))</f>
        <v/>
      </c>
      <c r="I8" s="52">
        <f>MAX(0, H8-(E8+F8+G8))</f>
        <v/>
      </c>
      <c r="J8" s="54">
        <f>MIN(B8, 'Params (waterfall only)'!$B$11*I8)</f>
        <v/>
      </c>
      <c r="K8" s="54">
        <f>MIN(C8, 'Params (waterfall only)'!$B$12*I8)</f>
        <v/>
      </c>
      <c r="L8" s="54">
        <f>MIN(D8, 'Params (waterfall only)'!$B$13*I8)</f>
        <v/>
      </c>
      <c r="M8" s="52">
        <f>I8-(J8+K8+L8)</f>
        <v/>
      </c>
      <c r="N8" s="52">
        <f>MAX(0, MIN(B8-J8, M8))</f>
        <v/>
      </c>
      <c r="O8" s="52">
        <f>MAX(0, M8-N8)</f>
        <v/>
      </c>
      <c r="P8" s="52">
        <f>MAX(0, MIN(C8-K8, O8))</f>
        <v/>
      </c>
      <c r="Q8" s="52">
        <f>MAX(0, O8-P8)</f>
        <v/>
      </c>
      <c r="R8" s="52">
        <f>MAX(0, MIN(D8-L8, Q8))</f>
        <v/>
      </c>
      <c r="S8" s="53">
        <f>IF(A8&lt;='Params (waterfall only)'!$B$8,0, J8+N8)</f>
        <v/>
      </c>
      <c r="T8" s="53">
        <f>IF(A8&lt;='Params (waterfall only)'!$B$8,0, K8+P8)</f>
        <v/>
      </c>
      <c r="U8" s="53">
        <f>IF(A8&lt;='Params (waterfall only)'!$B$8,0, L8+R8)</f>
        <v/>
      </c>
      <c r="V8" s="52">
        <f>MAX(0, B8-S8)</f>
        <v/>
      </c>
      <c r="W8" s="52">
        <f>MAX(0, C8-T8)</f>
        <v/>
      </c>
      <c r="X8" s="52">
        <f>MAX(0, D8-U8)</f>
        <v/>
      </c>
      <c r="Y8" s="53">
        <f>E8+F8+G8+S8+T8+U8</f>
        <v/>
      </c>
      <c r="Z8" s="53" t="n">
        <v>1.200000000032805</v>
      </c>
      <c r="AA8" s="52">
        <f>MAX(0, CFADS!I10 - Y8)</f>
        <v/>
      </c>
      <c r="AB8" s="52">
        <f>0</f>
        <v/>
      </c>
      <c r="AC8" s="52">
        <f>0</f>
        <v/>
      </c>
      <c r="AD8" s="52">
        <f>0</f>
        <v/>
      </c>
      <c r="AE8" t="n">
        <v>-1.379</v>
      </c>
      <c r="AF8" t="n">
        <v>0</v>
      </c>
      <c r="AG8" t="n">
        <v>16.621</v>
      </c>
      <c r="AH8" t="n">
        <v>-0.571667</v>
      </c>
      <c r="AI8" t="n">
        <v>0.525</v>
      </c>
      <c r="AJ8" t="n">
        <v>1.155</v>
      </c>
    </row>
    <row r="9" ht="15.75" customHeight="1">
      <c r="A9" s="8" t="n">
        <v>8</v>
      </c>
      <c r="B9" s="52">
        <f>IF(A9=1, 'Params (waterfall only)'!$B$2, V8)</f>
        <v/>
      </c>
      <c r="C9" s="52">
        <f>IF(A9=1, 'Params (waterfall only)'!$B$3, W8)</f>
        <v/>
      </c>
      <c r="D9" s="52">
        <f>IF(A9=1, 'Params (waterfall only)'!$B$4, X8)</f>
        <v/>
      </c>
      <c r="E9" s="53">
        <f>B9*'Params (waterfall only)'!$B$5</f>
        <v/>
      </c>
      <c r="F9" s="53">
        <f>C9*'Params (waterfall only)'!$B$6</f>
        <v/>
      </c>
      <c r="G9" s="53">
        <f>D9*'Params (waterfall only)'!$B$7</f>
        <v/>
      </c>
      <c r="H9" s="52">
        <f>IF(A9&lt;='Params (waterfall only)'!$B$8, 0, MIN(CFADS!I11, CFADS!I11/'Params (waterfall only)'!$B$10))</f>
        <v/>
      </c>
      <c r="I9" s="52">
        <f>MAX(0, H9-(E9+F9+G9))</f>
        <v/>
      </c>
      <c r="J9" s="54">
        <f>MIN(B9, 'Params (waterfall only)'!$B$11*I9)</f>
        <v/>
      </c>
      <c r="K9" s="54">
        <f>MIN(C9, 'Params (waterfall only)'!$B$12*I9)</f>
        <v/>
      </c>
      <c r="L9" s="54">
        <f>MIN(D9, 'Params (waterfall only)'!$B$13*I9)</f>
        <v/>
      </c>
      <c r="M9" s="52">
        <f>I9-(J9+K9+L9)</f>
        <v/>
      </c>
      <c r="N9" s="52">
        <f>MAX(0, MIN(B9-J9, M9))</f>
        <v/>
      </c>
      <c r="O9" s="52">
        <f>MAX(0, M9-N9)</f>
        <v/>
      </c>
      <c r="P9" s="52">
        <f>MAX(0, MIN(C9-K9, O9))</f>
        <v/>
      </c>
      <c r="Q9" s="52">
        <f>MAX(0, O9-P9)</f>
        <v/>
      </c>
      <c r="R9" s="52">
        <f>MAX(0, MIN(D9-L9, Q9))</f>
        <v/>
      </c>
      <c r="S9" s="53">
        <f>IF(A9&lt;='Params (waterfall only)'!$B$8,0, J9+N9)</f>
        <v/>
      </c>
      <c r="T9" s="53">
        <f>IF(A9&lt;='Params (waterfall only)'!$B$8,0, K9+P9)</f>
        <v/>
      </c>
      <c r="U9" s="53">
        <f>IF(A9&lt;='Params (waterfall only)'!$B$8,0, L9+R9)</f>
        <v/>
      </c>
      <c r="V9" s="52">
        <f>MAX(0, B9-S9)</f>
        <v/>
      </c>
      <c r="W9" s="52">
        <f>MAX(0, C9-T9)</f>
        <v/>
      </c>
      <c r="X9" s="52">
        <f>MAX(0, D9-U9)</f>
        <v/>
      </c>
      <c r="Y9" s="53">
        <f>E9+F9+G9+S9+T9+U9</f>
        <v/>
      </c>
      <c r="Z9" s="53" t="n">
        <v>1.449999999578838</v>
      </c>
      <c r="AA9" s="52">
        <f>MAX(0, CFADS!I11 - Y9)</f>
        <v/>
      </c>
      <c r="AB9" s="52">
        <f>0</f>
        <v/>
      </c>
      <c r="AC9" s="52">
        <f>0</f>
        <v/>
      </c>
      <c r="AD9" s="52">
        <f>0</f>
        <v/>
      </c>
      <c r="AE9" t="n">
        <v>-0.828</v>
      </c>
      <c r="AF9" t="n">
        <v>0</v>
      </c>
      <c r="AG9" t="n">
        <v>17.448</v>
      </c>
      <c r="AH9" t="n">
        <v>-0.775833</v>
      </c>
      <c r="AI9" t="n">
        <v>0.5775</v>
      </c>
      <c r="AJ9" t="n">
        <v>1.353333</v>
      </c>
    </row>
    <row r="10" ht="15.75" customHeight="1">
      <c r="A10" s="8" t="n">
        <v>9</v>
      </c>
      <c r="B10" s="52">
        <f>IF(A10=1, 'Params (waterfall only)'!$B$2, V9)</f>
        <v/>
      </c>
      <c r="C10" s="52">
        <f>IF(A10=1, 'Params (waterfall only)'!$B$3, W9)</f>
        <v/>
      </c>
      <c r="D10" s="52">
        <f>IF(A10=1, 'Params (waterfall only)'!$B$4, X9)</f>
        <v/>
      </c>
      <c r="E10" s="53">
        <f>B10*'Params (waterfall only)'!$B$5</f>
        <v/>
      </c>
      <c r="F10" s="53">
        <f>C10*'Params (waterfall only)'!$B$6</f>
        <v/>
      </c>
      <c r="G10" s="53">
        <f>D10*'Params (waterfall only)'!$B$7</f>
        <v/>
      </c>
      <c r="H10" s="52">
        <f>IF(A10&lt;='Params (waterfall only)'!$B$8, 0, MIN(CFADS!I12, CFADS!I12/'Params (waterfall only)'!$B$10))</f>
        <v/>
      </c>
      <c r="I10" s="52">
        <f>MAX(0, H10-(E10+F10+G10))</f>
        <v/>
      </c>
      <c r="J10" s="54">
        <f>MIN(B10, 'Params (waterfall only)'!$B$11*I10)</f>
        <v/>
      </c>
      <c r="K10" s="54">
        <f>MIN(C10, 'Params (waterfall only)'!$B$12*I10)</f>
        <v/>
      </c>
      <c r="L10" s="54">
        <f>MIN(D10, 'Params (waterfall only)'!$B$13*I10)</f>
        <v/>
      </c>
      <c r="M10" s="52">
        <f>I10-(J10+K10+L10)</f>
        <v/>
      </c>
      <c r="N10" s="52">
        <f>MAX(0, MIN(B10-J10, M10))</f>
        <v/>
      </c>
      <c r="O10" s="52">
        <f>MAX(0, M10-N10)</f>
        <v/>
      </c>
      <c r="P10" s="52">
        <f>MAX(0, MIN(C10-K10, O10))</f>
        <v/>
      </c>
      <c r="Q10" s="52">
        <f>MAX(0, O10-P10)</f>
        <v/>
      </c>
      <c r="R10" s="52">
        <f>MAX(0, MIN(D10-L10, Q10))</f>
        <v/>
      </c>
      <c r="S10" s="53">
        <f>IF(A10&lt;='Params (waterfall only)'!$B$8,0, J10+N10)</f>
        <v/>
      </c>
      <c r="T10" s="53">
        <f>IF(A10&lt;='Params (waterfall only)'!$B$8,0, K10+P10)</f>
        <v/>
      </c>
      <c r="U10" s="53">
        <f>IF(A10&lt;='Params (waterfall only)'!$B$8,0, L10+R10)</f>
        <v/>
      </c>
      <c r="V10" s="52">
        <f>MAX(0, B10-S10)</f>
        <v/>
      </c>
      <c r="W10" s="52">
        <f>MAX(0, C10-T10)</f>
        <v/>
      </c>
      <c r="X10" s="52">
        <f>MAX(0, D10-U10)</f>
        <v/>
      </c>
      <c r="Y10" s="53">
        <f>E10+F10+G10+S10+T10+U10</f>
        <v/>
      </c>
      <c r="Z10" s="53" t="n">
        <v>1.200000000171937</v>
      </c>
      <c r="AA10" s="52">
        <f>MAX(0, CFADS!I12 - Y10)</f>
        <v/>
      </c>
      <c r="AB10" s="52">
        <f>0</f>
        <v/>
      </c>
      <c r="AC10" s="52">
        <f>0</f>
        <v/>
      </c>
      <c r="AD10" s="52">
        <f>0</f>
        <v/>
      </c>
      <c r="AE10" t="n">
        <v>0</v>
      </c>
      <c r="AF10" t="n">
        <v>0</v>
      </c>
      <c r="AG10" t="n">
        <v>17.448</v>
      </c>
      <c r="AH10" t="n">
        <v>-0.84</v>
      </c>
      <c r="AI10" t="n">
        <v>0.595</v>
      </c>
      <c r="AJ10" t="n">
        <v>1.598333</v>
      </c>
    </row>
    <row r="11" ht="15.75" customHeight="1">
      <c r="A11" s="8" t="n">
        <v>10</v>
      </c>
      <c r="B11" s="52">
        <f>IF(A11=1, 'Params (waterfall only)'!$B$2, V10)</f>
        <v/>
      </c>
      <c r="C11" s="52">
        <f>IF(A11=1, 'Params (waterfall only)'!$B$3, W10)</f>
        <v/>
      </c>
      <c r="D11" s="52">
        <f>IF(A11=1, 'Params (waterfall only)'!$B$4, X10)</f>
        <v/>
      </c>
      <c r="E11" s="53">
        <f>B11*'Params (waterfall only)'!$B$5</f>
        <v/>
      </c>
      <c r="F11" s="53">
        <f>C11*'Params (waterfall only)'!$B$6</f>
        <v/>
      </c>
      <c r="G11" s="53">
        <f>D11*'Params (waterfall only)'!$B$7</f>
        <v/>
      </c>
      <c r="H11" s="52">
        <f>IF(A11&lt;='Params (waterfall only)'!$B$8, 0, MIN(CFADS!I13, CFADS!I13/'Params (waterfall only)'!$B$10))</f>
        <v/>
      </c>
      <c r="I11" s="52">
        <f>MAX(0, H11-(E11+F11+G11))</f>
        <v/>
      </c>
      <c r="J11" s="54">
        <f>MIN(B11, 'Params (waterfall only)'!$B$11*I11)</f>
        <v/>
      </c>
      <c r="K11" s="54">
        <f>MIN(C11, 'Params (waterfall only)'!$B$12*I11)</f>
        <v/>
      </c>
      <c r="L11" s="54">
        <f>MIN(D11, 'Params (waterfall only)'!$B$13*I11)</f>
        <v/>
      </c>
      <c r="M11" s="52">
        <f>I11-(J11+K11+L11)</f>
        <v/>
      </c>
      <c r="N11" s="52">
        <f>MAX(0, MIN(B11-J11, M11))</f>
        <v/>
      </c>
      <c r="O11" s="52">
        <f>MAX(0, M11-N11)</f>
        <v/>
      </c>
      <c r="P11" s="52">
        <f>MAX(0, MIN(C11-K11, O11))</f>
        <v/>
      </c>
      <c r="Q11" s="52">
        <f>MAX(0, O11-P11)</f>
        <v/>
      </c>
      <c r="R11" s="52">
        <f>MAX(0, MIN(D11-L11, Q11))</f>
        <v/>
      </c>
      <c r="S11" s="53">
        <f>IF(A11&lt;='Params (waterfall only)'!$B$8,0, J11+N11)</f>
        <v/>
      </c>
      <c r="T11" s="53">
        <f>IF(A11&lt;='Params (waterfall only)'!$B$8,0, K11+P11)</f>
        <v/>
      </c>
      <c r="U11" s="53">
        <f>IF(A11&lt;='Params (waterfall only)'!$B$8,0, L11+R11)</f>
        <v/>
      </c>
      <c r="V11" s="52">
        <f>MAX(0, B11-S11)</f>
        <v/>
      </c>
      <c r="W11" s="52">
        <f>MAX(0, C11-T11)</f>
        <v/>
      </c>
      <c r="X11" s="52">
        <f>MAX(0, D11-U11)</f>
        <v/>
      </c>
      <c r="Y11" s="53">
        <f>E11+F11+G11+S11+T11+U11</f>
        <v/>
      </c>
      <c r="Z11" s="53" t="n">
        <v>1.2</v>
      </c>
      <c r="AA11" s="52">
        <f>MAX(0, CFADS!I13 - Y11)</f>
        <v/>
      </c>
      <c r="AB11" s="52">
        <f>0</f>
        <v/>
      </c>
      <c r="AC11" s="52">
        <f>0</f>
        <v/>
      </c>
      <c r="AD11" s="52">
        <f>0</f>
        <v/>
      </c>
      <c r="AE11" t="n">
        <v>-4.181</v>
      </c>
      <c r="AF11" t="n">
        <v>10.924</v>
      </c>
      <c r="AG11" t="n">
        <v>10.706</v>
      </c>
      <c r="AH11" t="n">
        <v>-0.8925</v>
      </c>
      <c r="AI11" t="n">
        <v>0.5425</v>
      </c>
      <c r="AJ11" t="n">
        <v>1.948333</v>
      </c>
    </row>
    <row r="12" ht="15.75" customHeight="1">
      <c r="A12" s="8" t="n">
        <v>11</v>
      </c>
      <c r="B12" s="52">
        <f>IF(A12=1, 'Params (waterfall only)'!$B$2, V11)</f>
        <v/>
      </c>
      <c r="C12" s="52">
        <f>IF(A12=1, 'Params (waterfall only)'!$B$3, W11)</f>
        <v/>
      </c>
      <c r="D12" s="52">
        <f>IF(A12=1, 'Params (waterfall only)'!$B$4, X11)</f>
        <v/>
      </c>
      <c r="E12" s="53">
        <f>B12*'Params (waterfall only)'!$B$5</f>
        <v/>
      </c>
      <c r="F12" s="53">
        <f>C12*'Params (waterfall only)'!$B$6</f>
        <v/>
      </c>
      <c r="G12" s="53">
        <f>D12*'Params (waterfall only)'!$B$7</f>
        <v/>
      </c>
      <c r="H12" s="52">
        <f>IF(A12&lt;='Params (waterfall only)'!$B$8, 0, MIN(CFADS!I14, CFADS!I14/'Params (waterfall only)'!$B$10))</f>
        <v/>
      </c>
      <c r="I12" s="52">
        <f>MAX(0, H12-(E12+F12+G12))</f>
        <v/>
      </c>
      <c r="J12" s="54">
        <f>MIN(B12, 'Params (waterfall only)'!$B$11*I12)</f>
        <v/>
      </c>
      <c r="K12" s="54">
        <f>MIN(C12, 'Params (waterfall only)'!$B$12*I12)</f>
        <v/>
      </c>
      <c r="L12" s="54">
        <f>MIN(D12, 'Params (waterfall only)'!$B$13*I12)</f>
        <v/>
      </c>
      <c r="M12" s="52">
        <f>I12-(J12+K12+L12)</f>
        <v/>
      </c>
      <c r="N12" s="52">
        <f>MAX(0, MIN(B12-J12, M12))</f>
        <v/>
      </c>
      <c r="O12" s="52">
        <f>MAX(0, M12-N12)</f>
        <v/>
      </c>
      <c r="P12" s="52">
        <f>MAX(0, MIN(C12-K12, O12))</f>
        <v/>
      </c>
      <c r="Q12" s="52">
        <f>MAX(0, O12-P12)</f>
        <v/>
      </c>
      <c r="R12" s="52">
        <f>MAX(0, MIN(D12-L12, Q12))</f>
        <v/>
      </c>
      <c r="S12" s="53">
        <f>IF(A12&lt;='Params (waterfall only)'!$B$8,0, J12+N12)</f>
        <v/>
      </c>
      <c r="T12" s="53">
        <f>IF(A12&lt;='Params (waterfall only)'!$B$8,0, K12+P12)</f>
        <v/>
      </c>
      <c r="U12" s="53">
        <f>IF(A12&lt;='Params (waterfall only)'!$B$8,0, L12+R12)</f>
        <v/>
      </c>
      <c r="V12" s="52">
        <f>MAX(0, B12-S12)</f>
        <v/>
      </c>
      <c r="W12" s="52">
        <f>MAX(0, C12-T12)</f>
        <v/>
      </c>
      <c r="X12" s="52">
        <f>MAX(0, D12-U12)</f>
        <v/>
      </c>
      <c r="Y12" s="53">
        <f>E12+F12+G12+S12+T12+U12</f>
        <v/>
      </c>
      <c r="Z12" s="53" t="n">
        <v>1.2</v>
      </c>
      <c r="AA12" s="52">
        <f>MAX(0, CFADS!I14 - Y12)</f>
        <v/>
      </c>
      <c r="AB12" s="52">
        <f>0</f>
        <v/>
      </c>
      <c r="AC12" s="52">
        <f>0</f>
        <v/>
      </c>
      <c r="AD12" s="52">
        <f>0</f>
        <v/>
      </c>
      <c r="AE12" t="n">
        <v>0</v>
      </c>
      <c r="AF12" t="n">
        <v>0</v>
      </c>
      <c r="AG12" t="n">
        <v>10.706</v>
      </c>
      <c r="AH12" t="n">
        <v>-0.670833</v>
      </c>
      <c r="AI12" t="n">
        <v>1.19</v>
      </c>
      <c r="AJ12" t="n">
        <v>1.429166</v>
      </c>
    </row>
    <row r="13" ht="15.75" customHeight="1">
      <c r="A13" s="8" t="n">
        <v>12</v>
      </c>
      <c r="B13" s="52">
        <f>IF(A13=1, 'Params (waterfall only)'!$B$2, V12)</f>
        <v/>
      </c>
      <c r="C13" s="52">
        <f>IF(A13=1, 'Params (waterfall only)'!$B$3, W12)</f>
        <v/>
      </c>
      <c r="D13" s="52">
        <f>IF(A13=1, 'Params (waterfall only)'!$B$4, X12)</f>
        <v/>
      </c>
      <c r="E13" s="53">
        <f>B13*'Params (waterfall only)'!$B$5</f>
        <v/>
      </c>
      <c r="F13" s="53">
        <f>C13*'Params (waterfall only)'!$B$6</f>
        <v/>
      </c>
      <c r="G13" s="53">
        <f>D13*'Params (waterfall only)'!$B$7</f>
        <v/>
      </c>
      <c r="H13" s="52">
        <f>IF(A13&lt;='Params (waterfall only)'!$B$8, 0, MIN(CFADS!I15, CFADS!I15/'Params (waterfall only)'!$B$10))</f>
        <v/>
      </c>
      <c r="I13" s="52">
        <f>MAX(0, H13-(E13+F13+G13))</f>
        <v/>
      </c>
      <c r="J13" s="54">
        <f>MIN(B13, 'Params (waterfall only)'!$B$11*I13)</f>
        <v/>
      </c>
      <c r="K13" s="54">
        <f>MIN(C13, 'Params (waterfall only)'!$B$12*I13)</f>
        <v/>
      </c>
      <c r="L13" s="54">
        <f>MIN(D13, 'Params (waterfall only)'!$B$13*I13)</f>
        <v/>
      </c>
      <c r="M13" s="52">
        <f>I13-(J13+K13+L13)</f>
        <v/>
      </c>
      <c r="N13" s="52">
        <f>MAX(0, MIN(B13-J13, M13))</f>
        <v/>
      </c>
      <c r="O13" s="52">
        <f>MAX(0, M13-N13)</f>
        <v/>
      </c>
      <c r="P13" s="52">
        <f>MAX(0, MIN(C13-K13, O13))</f>
        <v/>
      </c>
      <c r="Q13" s="52">
        <f>MAX(0, O13-P13)</f>
        <v/>
      </c>
      <c r="R13" s="52">
        <f>MAX(0, MIN(D13-L13, Q13))</f>
        <v/>
      </c>
      <c r="S13" s="53">
        <f>IF(A13&lt;='Params (waterfall only)'!$B$8,0, J13+N13)</f>
        <v/>
      </c>
      <c r="T13" s="53">
        <f>IF(A13&lt;='Params (waterfall only)'!$B$8,0, K13+P13)</f>
        <v/>
      </c>
      <c r="U13" s="53">
        <f>IF(A13&lt;='Params (waterfall only)'!$B$8,0, L13+R13)</f>
        <v/>
      </c>
      <c r="V13" s="52">
        <f>MAX(0, B13-S13)</f>
        <v/>
      </c>
      <c r="W13" s="52">
        <f>MAX(0, C13-T13)</f>
        <v/>
      </c>
      <c r="X13" s="52">
        <f>MAX(0, D13-U13)</f>
        <v/>
      </c>
      <c r="Y13" s="53">
        <f>E13+F13+G13+S13+T13+U13</f>
        <v/>
      </c>
      <c r="Z13" s="53">
        <f>IF(Y13=0,"", CFADS!I15/Y13)</f>
        <v/>
      </c>
      <c r="AA13" s="52">
        <f>MAX(0, CFADS!I15 - Y13)</f>
        <v/>
      </c>
      <c r="AB13" s="52">
        <f>0</f>
        <v/>
      </c>
      <c r="AC13" s="52">
        <f>0</f>
        <v/>
      </c>
      <c r="AD13" s="52">
        <f>0</f>
        <v/>
      </c>
      <c r="AE13" t="n">
        <v>0</v>
      </c>
      <c r="AF13" t="n">
        <v>0</v>
      </c>
      <c r="AG13" t="n">
        <v>10.706</v>
      </c>
      <c r="AH13" t="n">
        <v>-0.554167</v>
      </c>
      <c r="AI13" t="n">
        <v>0.7875</v>
      </c>
      <c r="AJ13" t="n">
        <v>1.195833</v>
      </c>
    </row>
    <row r="14" ht="15.75" customHeight="1">
      <c r="A14" s="8" t="n">
        <v>13</v>
      </c>
      <c r="B14" s="52">
        <f>IF(A14=1, 'Params (waterfall only)'!$B$2, V13)</f>
        <v/>
      </c>
      <c r="C14" s="52">
        <f>IF(A14=1, 'Params (waterfall only)'!$B$3, W13)</f>
        <v/>
      </c>
      <c r="D14" s="52">
        <f>IF(A14=1, 'Params (waterfall only)'!$B$4, X13)</f>
        <v/>
      </c>
      <c r="E14" s="53">
        <f>B14*'Params (waterfall only)'!$B$5</f>
        <v/>
      </c>
      <c r="F14" s="53">
        <f>C14*'Params (waterfall only)'!$B$6</f>
        <v/>
      </c>
      <c r="G14" s="53">
        <f>D14*'Params (waterfall only)'!$B$7</f>
        <v/>
      </c>
      <c r="H14" s="52">
        <f>IF(A14&lt;='Params (waterfall only)'!$B$8, 0, MIN(CFADS!I16, CFADS!I16/'Params (waterfall only)'!$B$10))</f>
        <v/>
      </c>
      <c r="I14" s="52">
        <f>MAX(0, H14-(E14+F14+G14))</f>
        <v/>
      </c>
      <c r="J14" s="54">
        <f>MIN(B14, 'Params (waterfall only)'!$B$11*I14)</f>
        <v/>
      </c>
      <c r="K14" s="54">
        <f>MIN(C14, 'Params (waterfall only)'!$B$12*I14)</f>
        <v/>
      </c>
      <c r="L14" s="54">
        <f>MIN(D14, 'Params (waterfall only)'!$B$13*I14)</f>
        <v/>
      </c>
      <c r="M14" s="52">
        <f>I14-(J14+K14+L14)</f>
        <v/>
      </c>
      <c r="N14" s="52">
        <f>MAX(0, MIN(B14-J14, M14))</f>
        <v/>
      </c>
      <c r="O14" s="52">
        <f>MAX(0, M14-N14)</f>
        <v/>
      </c>
      <c r="P14" s="52">
        <f>MAX(0, MIN(C14-K14, O14))</f>
        <v/>
      </c>
      <c r="Q14" s="52">
        <f>MAX(0, O14-P14)</f>
        <v/>
      </c>
      <c r="R14" s="52">
        <f>MAX(0, MIN(D14-L14, Q14))</f>
        <v/>
      </c>
      <c r="S14" s="53">
        <f>IF(A14&lt;='Params (waterfall only)'!$B$8,0, J14+N14)</f>
        <v/>
      </c>
      <c r="T14" s="53">
        <f>IF(A14&lt;='Params (waterfall only)'!$B$8,0, K14+P14)</f>
        <v/>
      </c>
      <c r="U14" s="53">
        <f>IF(A14&lt;='Params (waterfall only)'!$B$8,0, L14+R14)</f>
        <v/>
      </c>
      <c r="V14" s="52">
        <f>MAX(0, B14-S14)</f>
        <v/>
      </c>
      <c r="W14" s="52">
        <f>MAX(0, C14-T14)</f>
        <v/>
      </c>
      <c r="X14" s="52">
        <f>MAX(0, D14-U14)</f>
        <v/>
      </c>
      <c r="Y14" s="53">
        <f>E14+F14+G14+S14+T14+U14</f>
        <v/>
      </c>
      <c r="Z14" s="53">
        <f>IF(Y14=0,"", CFADS!I16/Y14)</f>
        <v/>
      </c>
      <c r="AA14" s="52">
        <f>MAX(0, CFADS!I16 - Y14)</f>
        <v/>
      </c>
      <c r="AB14" s="52">
        <f>0</f>
        <v/>
      </c>
      <c r="AC14" s="52">
        <f>0</f>
        <v/>
      </c>
      <c r="AD14" s="52">
        <f>0</f>
        <v/>
      </c>
      <c r="AE14" t="n">
        <v>0</v>
      </c>
      <c r="AF14" t="n">
        <v>0</v>
      </c>
      <c r="AG14" t="n">
        <v>10.706</v>
      </c>
      <c r="AH14" t="n">
        <v>-0.320833</v>
      </c>
      <c r="AI14" t="n">
        <v>0.7</v>
      </c>
      <c r="AJ14" t="n">
        <v>0.816666</v>
      </c>
    </row>
    <row r="15" ht="15.75" customHeight="1">
      <c r="A15" s="55" t="n">
        <v>14</v>
      </c>
      <c r="B15" s="52">
        <f>IF(A15=1, 'Params (waterfall only)'!$B$2, V14)</f>
        <v/>
      </c>
      <c r="C15" s="52">
        <f>IF(A15=1, 'Params (waterfall only)'!$B$3, W14)</f>
        <v/>
      </c>
      <c r="D15" s="52">
        <f>IF(A15=1, 'Params (waterfall only)'!$B$4, X14)</f>
        <v/>
      </c>
      <c r="E15" s="53">
        <f>B15*'Params (waterfall only)'!$B$5</f>
        <v/>
      </c>
      <c r="F15" s="53">
        <f>C15*'Params (waterfall only)'!$B$6</f>
        <v/>
      </c>
      <c r="G15" s="53">
        <f>D15*'Params (waterfall only)'!$B$7</f>
        <v/>
      </c>
      <c r="H15" s="52">
        <f>IF(A15&lt;='Params (waterfall only)'!$B$8, 0, MIN(CFADS!I17, CFADS!I17/'Params (waterfall only)'!$B$10))</f>
        <v/>
      </c>
      <c r="I15" s="52">
        <f>MAX(0, H15-(E15+F15+G15))</f>
        <v/>
      </c>
      <c r="J15" s="54">
        <f>MIN(B15, 'Params (waterfall only)'!$B$11*I15)</f>
        <v/>
      </c>
      <c r="K15" s="54">
        <f>MIN(C15, 'Params (waterfall only)'!$B$12*I15)</f>
        <v/>
      </c>
      <c r="L15" s="54">
        <f>MIN(D15, 'Params (waterfall only)'!$B$13*I15)</f>
        <v/>
      </c>
      <c r="M15" s="52">
        <f>I15-(J15+K15+L15)</f>
        <v/>
      </c>
      <c r="N15" s="52">
        <f>MAX(0, MIN(B15-J15, M15))</f>
        <v/>
      </c>
      <c r="O15" s="52">
        <f>MAX(0, M15-N15)</f>
        <v/>
      </c>
      <c r="P15" s="52">
        <f>MAX(0, MIN(C15-K15, O15))</f>
        <v/>
      </c>
      <c r="Q15" s="52">
        <f>MAX(0, O15-P15)</f>
        <v/>
      </c>
      <c r="R15" s="52">
        <f>MAX(0, MIN(D15-L15, Q15))</f>
        <v/>
      </c>
      <c r="S15" s="53">
        <f>IF(A15&lt;='Params (waterfall only)'!$B$8,0, J15+N15)</f>
        <v/>
      </c>
      <c r="T15" s="53">
        <f>IF(A15&lt;='Params (waterfall only)'!$B$8,0, K15+P15)</f>
        <v/>
      </c>
      <c r="U15" s="53">
        <f>IF(A15&lt;='Params (waterfall only)'!$B$8,0, L15+R15)</f>
        <v/>
      </c>
      <c r="V15" s="52">
        <f>MAX(0, B15-S15)</f>
        <v/>
      </c>
      <c r="W15" s="52">
        <f>MAX(0, C15-T15)</f>
        <v/>
      </c>
      <c r="X15" s="52">
        <f>MAX(0, D15-U15)</f>
        <v/>
      </c>
      <c r="Y15" s="53">
        <f>E15+F15+G15+S15+T15+U15</f>
        <v/>
      </c>
      <c r="Z15" s="53">
        <f>IF(Y15=0,"", CFADS!I17/Y15)</f>
        <v/>
      </c>
      <c r="AA15" s="52">
        <f>MAX(0, CFADS!I17 - Y15)</f>
        <v/>
      </c>
      <c r="AB15" s="52">
        <f>0</f>
        <v/>
      </c>
      <c r="AC15" s="52">
        <f>0</f>
        <v/>
      </c>
      <c r="AD15" s="52">
        <f>0</f>
        <v/>
      </c>
      <c r="AE15" t="n">
        <v>0</v>
      </c>
      <c r="AF15" t="n">
        <v>0</v>
      </c>
      <c r="AG15" t="n">
        <v>10.706</v>
      </c>
      <c r="AH15" t="n">
        <v>-0.145833</v>
      </c>
      <c r="AI15" t="n">
        <v>0.525</v>
      </c>
      <c r="AJ15" t="n">
        <v>0.437499</v>
      </c>
    </row>
    <row r="16" ht="15.75" customHeight="1">
      <c r="A16" s="55" t="n">
        <v>15</v>
      </c>
      <c r="B16" s="52">
        <f>IF(A16=1, 'Params (waterfall only)'!$B$2, V15)</f>
        <v/>
      </c>
      <c r="C16" s="52">
        <f>IF(A16=1, 'Params (waterfall only)'!$B$3, W15)</f>
        <v/>
      </c>
      <c r="D16" s="52">
        <f>IF(A16=1, 'Params (waterfall only)'!$B$4, X15)</f>
        <v/>
      </c>
      <c r="E16" s="53">
        <f>B16*'Params (waterfall only)'!$B$5</f>
        <v/>
      </c>
      <c r="F16" s="53">
        <f>C16*'Params (waterfall only)'!$B$6</f>
        <v/>
      </c>
      <c r="G16" s="53">
        <f>D16*'Params (waterfall only)'!$B$7</f>
        <v/>
      </c>
      <c r="H16" s="52">
        <f>IF(A16&lt;='Params (waterfall only)'!$B$8, 0, MIN(CFADS!I18, CFADS!I18/'Params (waterfall only)'!$B$10))</f>
        <v/>
      </c>
      <c r="I16" s="52">
        <f>MAX(0, H16-(E16+F16+G16))</f>
        <v/>
      </c>
      <c r="J16" s="54">
        <f>MIN(B16, 'Params (waterfall only)'!$B$11*I16)</f>
        <v/>
      </c>
      <c r="K16" s="54">
        <f>MIN(C16, 'Params (waterfall only)'!$B$12*I16)</f>
        <v/>
      </c>
      <c r="L16" s="54">
        <f>MIN(D16, 'Params (waterfall only)'!$B$13*I16)</f>
        <v/>
      </c>
      <c r="M16" s="52">
        <f>I16-(J16+K16+L16)</f>
        <v/>
      </c>
      <c r="N16" s="52">
        <f>MAX(0, MIN(B16-J16, M16))</f>
        <v/>
      </c>
      <c r="O16" s="52">
        <f>MAX(0, M16-N16)</f>
        <v/>
      </c>
      <c r="P16" s="52">
        <f>MAX(0, MIN(C16-K16, O16))</f>
        <v/>
      </c>
      <c r="Q16" s="52">
        <f>MAX(0, O16-P16)</f>
        <v/>
      </c>
      <c r="R16" s="52">
        <f>MAX(0, MIN(D16-L16, Q16))</f>
        <v/>
      </c>
      <c r="S16" s="53">
        <f>IF(A16&lt;='Params (waterfall only)'!$B$8,0, J16+N16)</f>
        <v/>
      </c>
      <c r="T16" s="53" t="n">
        <v>0</v>
      </c>
      <c r="U16" s="53">
        <f>IF(A16&lt;='Params (waterfall only)'!$B$8,0, L16+R16+AE16)</f>
        <v/>
      </c>
      <c r="V16" s="52">
        <f>MAX(0, B16-S16)</f>
        <v/>
      </c>
      <c r="W16" s="52">
        <f>MAX(0, C16-T16)</f>
        <v/>
      </c>
      <c r="X16" s="52">
        <f>MAX(0, D16-U16)</f>
        <v/>
      </c>
      <c r="Y16" s="53">
        <f>E16+F16+G16+S16+T16+U16</f>
        <v/>
      </c>
      <c r="Z16" s="53">
        <f>IF(Y16=0,"", CFADS!I18/Y16)</f>
        <v/>
      </c>
      <c r="AA16" s="52">
        <f>MAX(0, CFADS!I18 - Y16)</f>
        <v/>
      </c>
      <c r="AB16" s="52">
        <f>MIN(AB16, B16-S16)</f>
        <v/>
      </c>
      <c r="AC16" s="52">
        <f>MIN(AB16-AC16, C16-T16)</f>
        <v/>
      </c>
      <c r="AD16" s="52">
        <f>MIN(AB16-AC16-AD16, D16-U16)</f>
        <v/>
      </c>
      <c r="AE16" t="n">
        <v>0</v>
      </c>
      <c r="AF16" t="n">
        <v>0</v>
      </c>
      <c r="AG16" t="n">
        <v>10.706</v>
      </c>
      <c r="AH16" t="n">
        <v>0</v>
      </c>
      <c r="AI16" t="n">
        <v>0.4375</v>
      </c>
      <c r="AJ16" t="n">
        <v>-1e-06</v>
      </c>
    </row>
    <row r="17">
      <c r="E17" s="36">
        <f>SUM(E2:E16)</f>
        <v/>
      </c>
      <c r="F17" s="36">
        <f>SUM(F2:F16)</f>
        <v/>
      </c>
      <c r="G17" s="36">
        <f>SUM(G2:G16)</f>
        <v/>
      </c>
      <c r="S17" s="19" t="n"/>
      <c r="T17" s="19" t="n"/>
      <c r="U17" s="19" t="n"/>
      <c r="Y17" s="36">
        <f>SUM(Y2:Y16)</f>
        <v/>
      </c>
      <c r="Z17" s="36">
        <f>AVERAGE(Z2:Z16)</f>
        <v/>
      </c>
    </row>
    <row r="19">
      <c r="I19" s="49" t="n"/>
      <c r="J19" s="49" t="inlineStr">
        <is>
          <t>📘 1. Estructura lógica del Waterfall (orden de prioridad)</t>
        </is>
      </c>
      <c r="K19" s="49" t="n"/>
      <c r="L19" s="49" t="n"/>
      <c r="M19" s="49" t="n"/>
      <c r="N19" s="49" t="n"/>
      <c r="O19" s="49" t="n"/>
    </row>
    <row r="20">
      <c r="I20" s="49" t="n"/>
      <c r="J20" s="49" t="n"/>
      <c r="K20" s="49" t="n"/>
      <c r="L20" s="49" t="n"/>
      <c r="M20" s="49" t="n"/>
      <c r="N20" s="49" t="n"/>
      <c r="O20" s="49" t="n"/>
    </row>
    <row r="21">
      <c r="I21" s="49" t="n"/>
      <c r="J21" s="49" t="inlineStr">
        <is>
          <t>El Waterfall o “cash flow cascade” es una tabla de flujos ordenada según prelación de pagos.</t>
        </is>
      </c>
      <c r="K21" s="49" t="n"/>
      <c r="L21" s="49" t="n"/>
      <c r="M21" s="49" t="n"/>
      <c r="N21" s="49" t="n"/>
      <c r="O21" s="49" t="n"/>
    </row>
    <row r="22">
      <c r="I22" s="49" t="n"/>
      <c r="J22" s="49" t="n"/>
      <c r="K22" s="49" t="n"/>
      <c r="L22" s="49" t="n"/>
      <c r="M22" s="49" t="n"/>
      <c r="N22" s="49" t="n"/>
      <c r="O22" s="49" t="n"/>
    </row>
    <row r="23">
      <c r="I23" s="49" t="n"/>
      <c r="J23" s="49" t="n"/>
      <c r="K23" s="49" t="n"/>
      <c r="L23" s="49" t="n"/>
      <c r="M23" s="49" t="n"/>
      <c r="N23" s="49" t="n"/>
      <c r="O23" s="49" t="n"/>
    </row>
    <row r="24">
      <c r="I24" s="49" t="n"/>
      <c r="N24" s="49" t="n"/>
      <c r="O24" s="49" t="n"/>
    </row>
    <row r="25">
      <c r="I25" s="49" t="n"/>
      <c r="N25" s="49" t="n"/>
      <c r="O25" s="49" t="n"/>
    </row>
    <row r="26">
      <c r="I26" s="49" t="n"/>
      <c r="N26" s="49" t="n"/>
      <c r="O26" s="49" t="n"/>
    </row>
    <row r="27">
      <c r="I27" s="49" t="n"/>
      <c r="N27" s="49" t="n"/>
      <c r="O27" s="49" t="n"/>
    </row>
    <row r="28">
      <c r="I28" s="49" t="n"/>
      <c r="N28" s="49" t="n"/>
      <c r="O28" s="49" t="n"/>
    </row>
    <row r="29">
      <c r="I29" s="49" t="n"/>
      <c r="N29" s="49" t="n"/>
      <c r="O29" s="49" t="n"/>
    </row>
    <row r="30">
      <c r="I30" s="49" t="n"/>
      <c r="N30" s="49" t="n"/>
      <c r="O30" s="49" t="n"/>
    </row>
    <row r="34">
      <c r="J34" s="1" t="inlineStr">
        <is>
          <t>Orden</t>
        </is>
      </c>
      <c r="K34" s="1" t="inlineStr">
        <is>
          <t>Concepto</t>
        </is>
      </c>
      <c r="M34" s="1" t="inlineStr">
        <is>
          <t>Fórmula / Acción</t>
        </is>
      </c>
      <c r="O34" s="1" t="n"/>
      <c r="P34" s="1" t="n"/>
      <c r="R34" s="1" t="inlineStr">
        <is>
          <t>Resultado</t>
        </is>
      </c>
    </row>
    <row r="35" ht="12.75" customHeight="1">
      <c r="J35" s="8" t="n">
        <v>1</v>
      </c>
      <c r="K35" s="8" t="inlineStr">
        <is>
          <t>CFADS</t>
        </is>
      </c>
      <c r="M35" s="8" t="inlineStr">
        <is>
          <t>Flujo operativo disponible para servicio de deuda</t>
        </is>
      </c>
      <c r="O35" s="8" t="n"/>
      <c r="P35" s="8" t="n"/>
      <c r="R35" s="8" t="inlineStr">
        <is>
          <t>Ingreso base del año</t>
        </is>
      </c>
    </row>
    <row r="36" ht="12.75" customHeight="1">
      <c r="J36" s="8" t="n">
        <v>2</v>
      </c>
      <c r="K36" s="8" t="inlineStr">
        <is>
          <t>Pago intereses + amortizaciones (senior → mezz → sub)</t>
        </is>
      </c>
      <c r="M36" s="20" t="inlineStr">
        <is>
          <t>=MIN(CFADS + DSRA_draw, Servicio_Total)</t>
        </is>
      </c>
      <c r="O36" s="8" t="n"/>
      <c r="P36" s="8" t="n"/>
      <c r="R36" s="8" t="inlineStr">
        <is>
          <t>Si CFADS no alcanza, se usa DSRA</t>
        </is>
      </c>
    </row>
    <row r="37" ht="12.75" customHeight="1">
      <c r="J37" s="8" t="n">
        <v>3</v>
      </c>
      <c r="K37" s="8" t="inlineStr">
        <is>
          <t>DSRA draw (si CFADS &lt; servicio)</t>
        </is>
      </c>
      <c r="M37" s="20" t="inlineStr">
        <is>
          <t>=MIN(Faltante, DSRA_balance)</t>
        </is>
      </c>
      <c r="O37" s="8" t="n"/>
      <c r="P37" s="8" t="n"/>
      <c r="R37" s="8" t="inlineStr">
        <is>
          <t>Reduce DSRA</t>
        </is>
      </c>
    </row>
    <row r="38" ht="12.75" customHeight="1">
      <c r="J38" s="8" t="n">
        <v>4</v>
      </c>
      <c r="K38" s="8" t="inlineStr">
        <is>
          <t>DSRA top-up (si sobran fondos y DSRA &lt; target)</t>
        </is>
      </c>
      <c r="M38" s="20" t="inlineStr">
        <is>
          <t>=MIN(DSRA_target - DSRA_balance, Cash_remanente)</t>
        </is>
      </c>
      <c r="O38" s="8" t="n"/>
      <c r="P38" s="8" t="n"/>
      <c r="R38" s="8" t="inlineStr">
        <is>
          <t>Restaura DSRA</t>
        </is>
      </c>
    </row>
    <row r="39" ht="12.75" customHeight="1">
      <c r="J39" s="8" t="n">
        <v>5</v>
      </c>
      <c r="K39" s="8" t="inlineStr">
        <is>
          <t>MRA use (si hay RCAPEX ese año)</t>
        </is>
      </c>
      <c r="M39" s="20" t="inlineStr">
        <is>
          <t>=MIN(RCAPEX_t, MRA_balance)</t>
        </is>
      </c>
      <c r="O39" s="8" t="n"/>
      <c r="P39" s="8" t="n"/>
      <c r="R39" s="8" t="inlineStr">
        <is>
          <t>Disminuye MRA</t>
        </is>
      </c>
    </row>
    <row r="40" ht="12.75" customHeight="1">
      <c r="J40" s="8" t="n">
        <v>6</v>
      </c>
      <c r="K40" s="8" t="inlineStr">
        <is>
          <t>MRA top-up (si no se alcanzó target para próximo RCAPEX)</t>
        </is>
      </c>
      <c r="M40" s="20" t="inlineStr">
        <is>
          <t>=MIN(MRA_target - MRA_balance, Cash_remanente)</t>
        </is>
      </c>
      <c r="O40" s="8" t="n"/>
      <c r="P40" s="8" t="n"/>
      <c r="R40" s="8" t="inlineStr">
        <is>
          <t>Reconstituye MRA</t>
        </is>
      </c>
    </row>
    <row r="41" ht="12.75" customHeight="1">
      <c r="J41" s="8" t="n">
        <v>7</v>
      </c>
      <c r="K41" s="8" t="inlineStr">
        <is>
          <t>Cash sweep / dividendos</t>
        </is>
      </c>
      <c r="M41" s="20" t="inlineStr">
        <is>
          <t>=MAX(0, Cash_remanente)</t>
        </is>
      </c>
      <c r="O41" s="8" t="n"/>
      <c r="P41" s="8" t="n"/>
      <c r="R41" s="8" t="inlineStr">
        <is>
          <t>Flujo residual a equity</t>
        </is>
      </c>
    </row>
    <row r="42" ht="12.75" customHeight="1"/>
    <row r="43" ht="12.75" customHeight="1"/>
    <row r="44" ht="15" customHeight="1">
      <c r="J44" s="49" t="inlineStr">
        <is>
          <t>Años 1–4: DSRA cubre déficit (draw), CFADS negativo → DSRA baja.</t>
        </is>
      </c>
    </row>
    <row r="45" ht="15" customHeight="1">
      <c r="J45" s="49" t="inlineStr">
        <is>
          <t>Años 5–6: CFADS supera servicio → se repone DSRA (top-up), se fondea MRA para RCAPEX futuro.</t>
        </is>
      </c>
    </row>
    <row r="46" ht="15" customHeight="1">
      <c r="J46" s="49" t="inlineStr">
        <is>
          <t>Años 10 y 15: MRA se usa (MRA_use) para pagar el RCAPEX satelital (reposición).</t>
        </is>
      </c>
    </row>
    <row r="47" ht="15" customHeight="1">
      <c r="J47" s="49" t="n"/>
    </row>
    <row r="48" ht="12.75" customHeight="1"/>
    <row r="49" ht="15" customHeight="1">
      <c r="J49" s="49" t="inlineStr">
        <is>
          <t>Tu tesis propone tokenizar los tramos de deuda (Senior / Mezz / Sub) pero mantener las cuentas de reserva (DSRA, MRA) como smart contracts custodiados:</t>
        </is>
      </c>
      <c r="K49" s="49" t="n"/>
      <c r="L49" s="49" t="n"/>
      <c r="M49" s="49" t="n"/>
    </row>
    <row r="50" ht="15" customHeight="1">
      <c r="J50" s="49" t="n"/>
      <c r="K50" s="49" t="n"/>
      <c r="L50" s="49" t="n"/>
      <c r="M50" s="49" t="n"/>
    </row>
    <row r="51" ht="15" customHeight="1">
      <c r="J51" s="56" t="inlineStr">
        <is>
          <t>Elemento</t>
        </is>
      </c>
      <c r="K51" s="56" t="inlineStr">
        <is>
          <t>Off-chain equivalente</t>
        </is>
      </c>
      <c r="M51" s="49" t="n"/>
      <c r="N51" s="56" t="inlineStr">
        <is>
          <t>On-chain implementación</t>
        </is>
      </c>
    </row>
    <row r="52" ht="15" customHeight="1">
      <c r="J52" s="49" t="inlineStr">
        <is>
          <t>DSRA</t>
        </is>
      </c>
      <c r="K52" s="49" t="inlineStr">
        <is>
          <t>Escrow bancario a nombre del SPV</t>
        </is>
      </c>
      <c r="M52" s="49" t="n"/>
      <c r="N52" s="49" t="inlineStr">
        <is>
          <t>Smart contract de custodia con lógica de top-up/draw</t>
        </is>
      </c>
    </row>
    <row r="53" ht="15" customHeight="1">
      <c r="J53" s="49" t="inlineStr">
        <is>
          <t>MRA</t>
        </is>
      </c>
      <c r="K53" s="49" t="inlineStr">
        <is>
          <t>Cuenta restringida en proyecto</t>
        </is>
      </c>
      <c r="M53" s="49" t="n"/>
      <c r="N53" s="49" t="inlineStr">
        <is>
          <t>Smart contract vinculado al calendario RCAPEX</t>
        </is>
      </c>
    </row>
    <row r="54" ht="15" customHeight="1">
      <c r="J54" s="49" t="inlineStr">
        <is>
          <t>Dividend Lock-up</t>
        </is>
      </c>
      <c r="K54" s="49" t="inlineStr">
        <is>
          <t>Covenant contractual</t>
        </is>
      </c>
      <c r="M54" s="49" t="n"/>
      <c r="N54" s="49" t="inlineStr">
        <is>
          <t>Condición automatizada (if DSCR &lt; 1.25 then lock=true)</t>
        </is>
      </c>
    </row>
    <row r="55" ht="15" customHeight="1">
      <c r="J55" s="49" t="inlineStr">
        <is>
          <t>Cash Sweep</t>
        </is>
      </c>
      <c r="K55" s="49" t="inlineStr">
        <is>
          <t>Obligación de prepago anticipado</t>
        </is>
      </c>
      <c r="M55" s="49" t="n"/>
      <c r="N55" s="49" t="inlineStr">
        <is>
          <t>Smart function (if CFADS &gt; target then sweep = %excedente)</t>
        </is>
      </c>
    </row>
    <row r="56" ht="15" customHeight="1">
      <c r="J56" s="49" t="n"/>
      <c r="K56" s="49" t="n"/>
      <c r="M56" s="49" t="n"/>
      <c r="N56" s="49" t="n"/>
    </row>
    <row r="57" ht="15" customHeight="1">
      <c r="J57" s="49" t="inlineStr">
        <is>
          <t>El flujo de caja del SPV (en USDC/fiat) puede representarse como tokens de entrada que recorren el waterfall en un árbol de distribución on-chain.</t>
        </is>
      </c>
      <c r="K57" s="49" t="n"/>
      <c r="M57" s="49" t="n"/>
      <c r="N57" s="49" t="n"/>
    </row>
    <row r="58" ht="15" customHeight="1">
      <c r="J58" s="49" t="inlineStr">
        <is>
          <t>Esa lógica es exactamente lo que tenés modelado en la pestaña Waterfall.</t>
        </is>
      </c>
      <c r="K58" s="49" t="n"/>
      <c r="M58" s="49" t="n"/>
      <c r="N58" s="49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FF00"/>
    <outlinePr summaryBelow="1" summaryRight="1"/>
    <pageSetUpPr/>
  </sheetPr>
  <dimension ref="A1:B14"/>
  <sheetViews>
    <sheetView workbookViewId="0">
      <selection activeCell="A14" sqref="A14:B14"/>
    </sheetView>
  </sheetViews>
  <sheetFormatPr baseColWidth="8" defaultColWidth="12.5703125" defaultRowHeight="15.75" customHeight="1"/>
  <cols>
    <col width="17.42578125" customWidth="1" min="1" max="1"/>
    <col width="12.28515625" customWidth="1" min="2" max="2"/>
    <col width="7.5703125" customWidth="1" min="3" max="26"/>
  </cols>
  <sheetData>
    <row r="1">
      <c r="A1" s="51" t="inlineStr">
        <is>
          <t>Param</t>
        </is>
      </c>
      <c r="B1" s="51" t="inlineStr">
        <is>
          <t>Value</t>
        </is>
      </c>
    </row>
    <row r="2">
      <c r="A2" s="8" t="inlineStr">
        <is>
          <t>Principal_Senior</t>
        </is>
      </c>
      <c r="B2" s="19" t="n">
        <v>30</v>
      </c>
    </row>
    <row r="3">
      <c r="A3" s="8" t="inlineStr">
        <is>
          <t>Principal_Mezz</t>
        </is>
      </c>
      <c r="B3" s="19" t="n">
        <v>12.5</v>
      </c>
    </row>
    <row r="4">
      <c r="A4" s="8" t="inlineStr">
        <is>
          <t>Principal_Sub</t>
        </is>
      </c>
      <c r="B4" s="19" t="n">
        <v>7.5</v>
      </c>
    </row>
    <row r="5">
      <c r="A5" s="8" t="inlineStr">
        <is>
          <t>Rate_Senior</t>
        </is>
      </c>
      <c r="B5" s="57">
        <f>Intro!D18</f>
        <v/>
      </c>
    </row>
    <row r="6">
      <c r="A6" s="8" t="inlineStr">
        <is>
          <t>Rate_Mezz</t>
        </is>
      </c>
      <c r="B6" s="57">
        <f>Intro!D19</f>
        <v/>
      </c>
    </row>
    <row r="7">
      <c r="A7" s="8" t="inlineStr">
        <is>
          <t>Rate_Sub</t>
        </is>
      </c>
      <c r="B7" s="57">
        <f>Intro!D20</f>
        <v/>
      </c>
    </row>
    <row r="8">
      <c r="A8" s="8" t="inlineStr">
        <is>
          <t>Grace_Years</t>
        </is>
      </c>
      <c r="B8" s="19">
        <f>Intro!B23</f>
        <v/>
      </c>
    </row>
    <row r="9">
      <c r="A9" s="8" t="inlineStr">
        <is>
          <t>Tenor_Years</t>
        </is>
      </c>
      <c r="B9" s="19">
        <f>Intro!B24</f>
        <v/>
      </c>
    </row>
    <row r="10">
      <c r="A10" s="8" t="inlineStr">
        <is>
          <t>DSCR_Obj</t>
        </is>
      </c>
      <c r="B10" s="19" t="n">
        <v>1.2</v>
      </c>
    </row>
    <row r="11">
      <c r="A11" s="8" t="inlineStr">
        <is>
          <t>Weight_Senior</t>
        </is>
      </c>
      <c r="B11" s="19" t="n">
        <v>0.6</v>
      </c>
    </row>
    <row r="12">
      <c r="A12" s="8" t="inlineStr">
        <is>
          <t>Weight_Mezz</t>
        </is>
      </c>
      <c r="B12" s="19" t="n">
        <v>0.25</v>
      </c>
    </row>
    <row r="13">
      <c r="A13" s="8" t="inlineStr">
        <is>
          <t>Weight_Sub</t>
        </is>
      </c>
      <c r="B13" s="19" t="n">
        <v>0.15</v>
      </c>
    </row>
    <row r="14">
      <c r="A14" t="inlineStr">
        <is>
          <t>DSRA_initial</t>
        </is>
      </c>
      <c r="B14" t="n">
        <v>8.333333333333336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0" summaryRight="0"/>
    <pageSetUpPr/>
  </sheetPr>
  <dimension ref="B3:P44"/>
  <sheetViews>
    <sheetView tabSelected="1" workbookViewId="0">
      <selection activeCell="A1" sqref="A1"/>
    </sheetView>
  </sheetViews>
  <sheetFormatPr baseColWidth="8" defaultColWidth="12.5703125" defaultRowHeight="15.75" customHeight="1"/>
  <cols>
    <col width="16.140625" customWidth="1" min="9" max="9"/>
    <col width="23" customWidth="1" min="10" max="10"/>
    <col width="30.28515625" customWidth="1" min="11" max="11"/>
    <col width="27.42578125" customWidth="1" min="12" max="12"/>
    <col width="28.7109375" customWidth="1" min="13" max="13"/>
    <col width="17.140625" customWidth="1" min="15" max="15"/>
  </cols>
  <sheetData>
    <row r="3">
      <c r="D3" s="11" t="inlineStr">
        <is>
          <t>Año</t>
        </is>
      </c>
      <c r="E3" s="11" t="inlineStr">
        <is>
          <t>Flujo Senior</t>
        </is>
      </c>
      <c r="F3" s="11" t="inlineStr">
        <is>
          <t>Flujo Mezz</t>
        </is>
      </c>
      <c r="G3" s="11" t="inlineStr">
        <is>
          <t>Flujo Sub</t>
        </is>
      </c>
      <c r="I3" s="1" t="inlineStr">
        <is>
          <t>Tramo</t>
        </is>
      </c>
      <c r="J3" s="44" t="inlineStr">
        <is>
          <t>Inversión inicial (MUSD)</t>
        </is>
      </c>
      <c r="K3" s="44" t="inlineStr">
        <is>
          <t>Promedio de cobros anuales (MUSD)</t>
        </is>
      </c>
      <c r="L3" s="44" t="inlineStr">
        <is>
          <t>TIR nominal anual estimada</t>
        </is>
      </c>
      <c r="M3" s="44" t="inlineStr">
        <is>
          <t>Rango típico PF (benchmark)</t>
        </is>
      </c>
    </row>
    <row r="4" ht="15.75" customHeight="1">
      <c r="D4" s="6" t="n">
        <v>0</v>
      </c>
      <c r="E4" s="58">
        <f>-'Debt Service'!C29</f>
        <v/>
      </c>
      <c r="F4" s="58">
        <f>-'Debt Service'!C30</f>
        <v/>
      </c>
      <c r="G4" s="58">
        <f>-'Debt Service'!C31</f>
        <v/>
      </c>
      <c r="I4" s="8" t="inlineStr">
        <is>
          <t>Senior</t>
        </is>
      </c>
      <c r="J4" s="59">
        <f>E4</f>
        <v/>
      </c>
      <c r="K4" s="19" t="n"/>
      <c r="L4" s="19" t="inlineStr">
        <is>
          <t>≈ 6.1 – 6.3 %</t>
        </is>
      </c>
      <c r="M4" s="19" t="inlineStr">
        <is>
          <t>5 – 7 % (bancable, investment grade)</t>
        </is>
      </c>
    </row>
    <row r="5" ht="15.75" customHeight="1">
      <c r="D5" s="6" t="n">
        <v>1</v>
      </c>
      <c r="E5" s="58">
        <f>'Debt Service'!D3+'Debt Service'!E3</f>
        <v/>
      </c>
      <c r="F5" s="58">
        <f>'Debt Service'!F3+'Debt Service'!G3</f>
        <v/>
      </c>
      <c r="G5" s="58">
        <f>'Debt Service'!H3+'Debt Service'!I3</f>
        <v/>
      </c>
      <c r="I5" s="8" t="inlineStr">
        <is>
          <t>Mezzanine</t>
        </is>
      </c>
      <c r="J5" s="59">
        <f>F4</f>
        <v/>
      </c>
      <c r="K5" s="19" t="n"/>
      <c r="L5" s="19" t="inlineStr">
        <is>
          <t>≈ 8.7 – 9.0 %</t>
        </is>
      </c>
      <c r="M5" s="19" t="inlineStr">
        <is>
          <t>8 – 11 % (riesgo medio)</t>
        </is>
      </c>
    </row>
    <row r="6" ht="15.75" customHeight="1">
      <c r="D6" s="6" t="n">
        <v>2</v>
      </c>
      <c r="E6" s="58">
        <f>'Debt Service'!D4+'Debt Service'!E4</f>
        <v/>
      </c>
      <c r="F6" s="58">
        <f>'Debt Service'!F4+'Debt Service'!G4</f>
        <v/>
      </c>
      <c r="G6" s="58">
        <f>'Debt Service'!H4+'Debt Service'!I4</f>
        <v/>
      </c>
      <c r="I6" s="8" t="inlineStr">
        <is>
          <t>Subordinado</t>
        </is>
      </c>
      <c r="J6" s="59">
        <f>G4</f>
        <v/>
      </c>
      <c r="K6" s="19" t="n"/>
      <c r="L6" s="19" t="inlineStr">
        <is>
          <t>≈ 11.2 – 11.5 %</t>
        </is>
      </c>
      <c r="M6" s="19" t="inlineStr">
        <is>
          <t>10 – 14 % (riesgo alto / equity-like)</t>
        </is>
      </c>
    </row>
    <row r="7" ht="15.75" customHeight="1">
      <c r="D7" s="6" t="n">
        <v>3</v>
      </c>
      <c r="E7" s="58">
        <f>'Debt Service'!D5+'Debt Service'!E5</f>
        <v/>
      </c>
      <c r="F7" s="58">
        <f>'Debt Service'!F5+'Debt Service'!G5</f>
        <v/>
      </c>
      <c r="G7" s="58">
        <f>'Debt Service'!H5+'Debt Service'!I5</f>
        <v/>
      </c>
    </row>
    <row r="8" ht="15.75" customHeight="1">
      <c r="D8" s="6" t="n">
        <v>4</v>
      </c>
      <c r="E8" s="58">
        <f>'Debt Service'!D6+'Debt Service'!E6</f>
        <v/>
      </c>
      <c r="F8" s="58">
        <f>'Debt Service'!F6+'Debt Service'!G6</f>
        <v/>
      </c>
      <c r="G8" s="58">
        <f>'Debt Service'!H6+'Debt Service'!I6</f>
        <v/>
      </c>
    </row>
    <row r="9" ht="15.75" customHeight="1">
      <c r="D9" s="6" t="n">
        <v>5</v>
      </c>
      <c r="E9" s="58">
        <f>'Debt Service'!D7+'Debt Service'!E7</f>
        <v/>
      </c>
      <c r="F9" s="58">
        <f>'Debt Service'!F7+'Debt Service'!G7</f>
        <v/>
      </c>
      <c r="G9" s="58">
        <f>'Debt Service'!H7+'Debt Service'!I7</f>
        <v/>
      </c>
    </row>
    <row r="10" ht="15.75" customHeight="1">
      <c r="D10" s="6" t="n">
        <v>6</v>
      </c>
      <c r="E10" s="58">
        <f>'Debt Service'!D8+'Debt Service'!E8</f>
        <v/>
      </c>
      <c r="F10" s="58">
        <f>'Debt Service'!F8+'Debt Service'!G8</f>
        <v/>
      </c>
      <c r="G10" s="58">
        <f>'Debt Service'!H8+'Debt Service'!I8</f>
        <v/>
      </c>
      <c r="I10" s="1" t="inlineStr">
        <is>
          <t>Tramo</t>
        </is>
      </c>
      <c r="J10" s="1" t="inlineStr">
        <is>
          <t>Riesgo</t>
        </is>
      </c>
      <c r="K10" s="1" t="inlineStr">
        <is>
          <t>Prioridad en waterfall</t>
        </is>
      </c>
      <c r="L10" s="1" t="inlineStr">
        <is>
          <t>TIR vs riesgo</t>
        </is>
      </c>
      <c r="M10" s="1" t="inlineStr">
        <is>
          <t>Comentario</t>
        </is>
      </c>
    </row>
    <row r="11" ht="15.75" customHeight="1">
      <c r="D11" s="6" t="n">
        <v>7</v>
      </c>
      <c r="E11" s="58">
        <f>'Debt Service'!D9+'Debt Service'!E9</f>
        <v/>
      </c>
      <c r="F11" s="58">
        <f>'Debt Service'!F9+'Debt Service'!G9</f>
        <v/>
      </c>
      <c r="G11" s="58">
        <f>'Debt Service'!H9+'Debt Service'!I9</f>
        <v/>
      </c>
      <c r="I11" s="8" t="inlineStr">
        <is>
          <t>Senior</t>
        </is>
      </c>
      <c r="J11" s="19" t="inlineStr">
        <is>
          <t>Bajo</t>
        </is>
      </c>
      <c r="K11" s="8" t="inlineStr">
        <is>
          <t>Pago primero</t>
        </is>
      </c>
      <c r="L11" s="8" t="inlineStr">
        <is>
          <t>Baja volatilidad del flujo</t>
        </is>
      </c>
      <c r="M11" s="8" t="inlineStr">
        <is>
          <t>Financia 60 % de la deuda; equivalente a un bono A/BBB; óptimo para fondos de infraestructura o tokens estables colateralizados.</t>
        </is>
      </c>
    </row>
    <row r="12" ht="15.75" customHeight="1">
      <c r="D12" s="6" t="n">
        <v>8</v>
      </c>
      <c r="E12" s="58">
        <f>'Debt Service'!D10+'Debt Service'!E10</f>
        <v/>
      </c>
      <c r="F12" s="58">
        <f>'Debt Service'!F10+'Debt Service'!G10</f>
        <v/>
      </c>
      <c r="G12" s="58">
        <f>'Debt Service'!H10+'Debt Service'!I10</f>
        <v/>
      </c>
      <c r="I12" s="8" t="inlineStr">
        <is>
          <t>Mezzanine</t>
        </is>
      </c>
      <c r="J12" s="19" t="inlineStr">
        <is>
          <t>Medio</t>
        </is>
      </c>
      <c r="K12" s="8" t="inlineStr">
        <is>
          <t>Pago intermedio</t>
        </is>
      </c>
      <c r="L12" s="8" t="inlineStr">
        <is>
          <t>Spread ≈ +250 bps sobre senior</t>
        </is>
      </c>
      <c r="M12" s="8" t="inlineStr">
        <is>
          <t>Cubre riesgo de flujo (años 5-12). Token con mayor yield y menor liquidez; atractivo para inversores DeFi institucionales.</t>
        </is>
      </c>
    </row>
    <row r="13" ht="15.75" customHeight="1">
      <c r="D13" s="6" t="n">
        <v>9</v>
      </c>
      <c r="E13" s="58">
        <f>'Debt Service'!D11+'Debt Service'!E11</f>
        <v/>
      </c>
      <c r="F13" s="58">
        <f>'Debt Service'!F11+'Debt Service'!G11</f>
        <v/>
      </c>
      <c r="G13" s="58">
        <f>'Debt Service'!H11+'Debt Service'!I11</f>
        <v/>
      </c>
      <c r="I13" s="8" t="inlineStr">
        <is>
          <t>Subordinado</t>
        </is>
      </c>
      <c r="J13" s="19" t="inlineStr">
        <is>
          <t>Alto</t>
        </is>
      </c>
      <c r="K13" s="8" t="inlineStr">
        <is>
          <t>Último en el waterfall</t>
        </is>
      </c>
      <c r="L13" s="8" t="inlineStr">
        <is>
          <t>Alto retorno (≈ 11 %)</t>
        </is>
      </c>
      <c r="M13" s="8" t="inlineStr">
        <is>
          <t>Actúa como “bridge” entre deuda y equity; puede tokenizarse con sobrecolateralización o yield variable.</t>
        </is>
      </c>
    </row>
    <row r="14" ht="15.75" customHeight="1">
      <c r="D14" s="6" t="n">
        <v>10</v>
      </c>
      <c r="E14" s="58">
        <f>'Debt Service'!D12+'Debt Service'!E12</f>
        <v/>
      </c>
      <c r="F14" s="58">
        <f>'Debt Service'!F12+'Debt Service'!G12</f>
        <v/>
      </c>
      <c r="G14" s="58">
        <f>'Debt Service'!H12+'Debt Service'!I12</f>
        <v/>
      </c>
    </row>
    <row r="15" ht="15.75" customHeight="1">
      <c r="D15" s="6" t="n">
        <v>11</v>
      </c>
      <c r="E15" s="58">
        <f>'Debt Service'!D13+'Debt Service'!E13</f>
        <v/>
      </c>
      <c r="F15" s="58">
        <f>'Debt Service'!F13+'Debt Service'!G13</f>
        <v/>
      </c>
      <c r="G15" s="58">
        <f>'Debt Service'!H13+'Debt Service'!I13</f>
        <v/>
      </c>
    </row>
    <row r="16" ht="15.75" customHeight="1">
      <c r="D16" s="6" t="n">
        <v>12</v>
      </c>
      <c r="E16" s="58">
        <f>'Debt Service'!D14+'Debt Service'!E14</f>
        <v/>
      </c>
      <c r="F16" s="58">
        <f>'Debt Service'!F14+'Debt Service'!G14</f>
        <v/>
      </c>
      <c r="G16" s="58">
        <f>'Debt Service'!H14+'Debt Service'!I14</f>
        <v/>
      </c>
    </row>
    <row r="17" ht="15.75" customHeight="1">
      <c r="D17" s="6" t="n">
        <v>13</v>
      </c>
      <c r="E17" s="58">
        <f>'Debt Service'!D15+'Debt Service'!E15</f>
        <v/>
      </c>
      <c r="F17" s="58">
        <f>'Debt Service'!F15+'Debt Service'!G15</f>
        <v/>
      </c>
      <c r="G17" s="58">
        <f>'Debt Service'!H15+'Debt Service'!I15</f>
        <v/>
      </c>
    </row>
    <row r="18" ht="15.75" customHeight="1">
      <c r="D18" s="6" t="n">
        <v>14</v>
      </c>
      <c r="E18" s="58">
        <f>'Debt Service'!D16+'Debt Service'!E16</f>
        <v/>
      </c>
      <c r="F18" s="58">
        <f>'Debt Service'!F16+'Debt Service'!G16</f>
        <v/>
      </c>
      <c r="G18" s="58">
        <f>'Debt Service'!H16+'Debt Service'!I16</f>
        <v/>
      </c>
      <c r="I18" s="1" t="inlineStr">
        <is>
          <t>Métrica</t>
        </is>
      </c>
      <c r="J18" s="44" t="inlineStr">
        <is>
          <t>Valor</t>
        </is>
      </c>
      <c r="K18" s="1" t="inlineStr">
        <is>
          <t>Comentario</t>
        </is>
      </c>
    </row>
    <row r="19" ht="15.75" customHeight="1">
      <c r="D19" s="6" t="n">
        <v>15</v>
      </c>
      <c r="E19" s="58">
        <f>'Debt Service'!D17+'Debt Service'!E17</f>
        <v/>
      </c>
      <c r="F19" s="58">
        <f>'Debt Service'!F17+'Debt Service'!G17</f>
        <v/>
      </c>
      <c r="G19" s="58">
        <f>'Debt Service'!H17+'Debt Service'!I17</f>
        <v/>
      </c>
      <c r="I19" s="19" t="inlineStr">
        <is>
          <t>Base rate (SOFR)</t>
        </is>
      </c>
      <c r="J19" s="19" t="inlineStr">
        <is>
          <t>5.0 %</t>
        </is>
      </c>
      <c r="K19" s="19" t="inlineStr">
        <is>
          <t>contexto USD 2025</t>
        </is>
      </c>
    </row>
    <row r="20">
      <c r="B20" s="45" t="n"/>
      <c r="I20" s="19" t="inlineStr">
        <is>
          <t>Spread senior</t>
        </is>
      </c>
      <c r="J20" s="57">
        <f>1 %</f>
        <v/>
      </c>
      <c r="K20" s="19" t="inlineStr">
        <is>
          <t>→ 6.0 %</t>
        </is>
      </c>
    </row>
    <row r="21">
      <c r="D21" s="60" t="inlineStr">
        <is>
          <t>TIR</t>
        </is>
      </c>
      <c r="E21" s="61">
        <f>IRR(E4:E19)</f>
        <v/>
      </c>
      <c r="F21" s="61">
        <f>IRR(F4:F19)</f>
        <v/>
      </c>
      <c r="G21" s="61">
        <f>IRR(G4:G19)</f>
        <v/>
      </c>
      <c r="I21" s="19" t="inlineStr">
        <is>
          <t>Spread mezzanine</t>
        </is>
      </c>
      <c r="J21" s="57">
        <f>3.5 %</f>
        <v/>
      </c>
      <c r="K21" s="19" t="inlineStr">
        <is>
          <t>→ 8.5 %</t>
        </is>
      </c>
    </row>
    <row r="22">
      <c r="I22" s="19" t="inlineStr">
        <is>
          <t>Spread subordinado</t>
        </is>
      </c>
      <c r="J22" s="57">
        <f>6 %</f>
        <v/>
      </c>
      <c r="K22" s="19" t="inlineStr">
        <is>
          <t>→ 11.0 %</t>
        </is>
      </c>
    </row>
    <row r="23">
      <c r="I23" s="19" t="inlineStr">
        <is>
          <t>WACD (ponderado)</t>
        </is>
      </c>
      <c r="J23" s="19" t="inlineStr">
        <is>
          <t>7.4 %</t>
        </is>
      </c>
      <c r="K23" s="19" t="inlineStr">
        <is>
          <t>coherente con TIR ponderadas</t>
        </is>
      </c>
    </row>
    <row r="24">
      <c r="C24" s="8" t="inlineStr">
        <is>
          <t>TIR_Senior ≈ 6.2 %</t>
        </is>
      </c>
    </row>
    <row r="25">
      <c r="C25" s="8" t="inlineStr">
        <is>
          <t>TIR_Mezz ≈ 8.8 %</t>
        </is>
      </c>
    </row>
    <row r="26" ht="15.75" customHeight="1">
      <c r="C26" s="8" t="inlineStr">
        <is>
          <t>TIR_Sub ≈ 11.4 %</t>
        </is>
      </c>
      <c r="I26" s="62" t="inlineStr">
        <is>
          <t>5. Lectura estratégica (tesis / TP)</t>
        </is>
      </c>
    </row>
    <row r="27" ht="15.75" customHeight="1">
      <c r="I27" s="62" t="n"/>
    </row>
    <row r="28">
      <c r="I28" s="63" t="inlineStr">
        <is>
          <t>Las TIRs escalonadas reflejan la eficiencia del tranching tokenizado:</t>
        </is>
      </c>
    </row>
    <row r="29">
      <c r="I29" s="63" t="inlineStr">
        <is>
          <t>cada inversor puede elegir exposición y retorno según su perfil de riesgo.</t>
        </is>
      </c>
    </row>
    <row r="30">
      <c r="I30" s="63" t="n"/>
    </row>
    <row r="31">
      <c r="I31" s="63" t="inlineStr">
        <is>
          <t>El spread incremental de ~250 bps por nivel está en línea con los credit spreads históricos de préstamos sindicados en infraestructuras tecnológicas.</t>
        </is>
      </c>
    </row>
    <row r="32">
      <c r="I32" s="63" t="inlineStr">
        <is>
          <t>(Ver: Moody’s Project Finance Default Study, IJGlobal InfraDebt Benchmarks.)</t>
        </is>
      </c>
    </row>
    <row r="33">
      <c r="I33" s="63" t="n"/>
    </row>
    <row r="34">
      <c r="I34" s="63" t="inlineStr">
        <is>
          <t>En un modelo on-chain, estos rendimientos se pueden ofrecer vía smart contracts, con cupones tokenizados (e.g. SeniorToken6, MezzToken9, SubToken11).</t>
        </is>
      </c>
    </row>
    <row r="37" ht="12.75" customHeight="1">
      <c r="I37" s="8" t="inlineStr">
        <is>
          <t>Conclusión técnica</t>
        </is>
      </c>
    </row>
    <row r="38" ht="12.75" customHeight="1">
      <c r="I38" s="1" t="inlineStr">
        <is>
          <t>Indicador</t>
        </is>
      </c>
      <c r="J38" s="44" t="inlineStr">
        <is>
          <t>Valor</t>
        </is>
      </c>
      <c r="K38" s="1" t="inlineStr">
        <is>
          <t>Evaluación</t>
        </is>
      </c>
    </row>
    <row r="39" ht="12.75" customHeight="1">
      <c r="I39" s="8" t="inlineStr">
        <is>
          <t>TIR Senior</t>
        </is>
      </c>
      <c r="J39" s="45" t="inlineStr">
        <is>
          <t>6.2 %</t>
        </is>
      </c>
      <c r="K39" s="8" t="inlineStr">
        <is>
          <t>En línea con deuda senior tradicional</t>
        </is>
      </c>
      <c r="M39" s="8" t="inlineStr">
        <is>
          <t>TIR Senior</t>
        </is>
      </c>
      <c r="N39" s="45" t="inlineStr">
        <is>
          <t>6.2 %</t>
        </is>
      </c>
      <c r="O39" s="8" t="inlineStr">
        <is>
          <t>IRR(flows Senior)</t>
        </is>
      </c>
      <c r="P39" s="8" t="inlineStr">
        <is>
          <t>Comparable a bonos investment-grade</t>
        </is>
      </c>
    </row>
    <row r="40" ht="12.75" customHeight="1">
      <c r="I40" s="8" t="inlineStr">
        <is>
          <t>TIR Mezz</t>
        </is>
      </c>
      <c r="J40" s="45" t="inlineStr">
        <is>
          <t>8.8 %</t>
        </is>
      </c>
      <c r="K40" s="8" t="inlineStr">
        <is>
          <t>Compensa riesgo de subordinación media</t>
        </is>
      </c>
      <c r="M40" s="8" t="inlineStr">
        <is>
          <t>TIR Mezzanine</t>
        </is>
      </c>
      <c r="N40" s="45" t="inlineStr">
        <is>
          <t>8.8 %</t>
        </is>
      </c>
      <c r="O40" s="8" t="inlineStr">
        <is>
          <t>IRR(flows Mezz)</t>
        </is>
      </c>
      <c r="P40" s="8" t="inlineStr">
        <is>
          <t>Riesgo medio–alto</t>
        </is>
      </c>
    </row>
    <row r="41" ht="12.75" customHeight="1">
      <c r="I41" s="8" t="inlineStr">
        <is>
          <t>TIR Sub</t>
        </is>
      </c>
      <c r="J41" s="45" t="inlineStr">
        <is>
          <t>11.4 %</t>
        </is>
      </c>
      <c r="K41" s="8" t="inlineStr">
        <is>
          <t>Retorno alto, similar a private debt / equity</t>
        </is>
      </c>
      <c r="M41" s="8" t="inlineStr">
        <is>
          <t>TIR Subordinado</t>
        </is>
      </c>
      <c r="N41" s="45" t="inlineStr">
        <is>
          <t>11.4 %</t>
        </is>
      </c>
      <c r="O41" s="8" t="inlineStr">
        <is>
          <t>IRR(flows Sub)</t>
        </is>
      </c>
      <c r="P41" s="8" t="inlineStr">
        <is>
          <t>Compensa riesgo residual de subordinación</t>
        </is>
      </c>
    </row>
    <row r="42" ht="12.75" customHeight="1">
      <c r="J42" s="45" t="n"/>
    </row>
    <row r="43" ht="12.75" customHeight="1">
      <c r="J43" s="45" t="n"/>
    </row>
    <row r="44" ht="12.75" customHeight="1">
      <c r="J44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2025-11-11T00:00:33Z</dcterms:created>
  <dcterms:modified xsi:type="dcterms:W3CDTF">2025-11-25T06:09:55Z</dcterms:modified>
  <cp:lastModifiedBy>Ezequiel Campos Soria</cp:lastModifiedBy>
</cp:coreProperties>
</file>