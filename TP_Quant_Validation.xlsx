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FADS_Calc" sheetId="2" state="visible" r:id="rId2"/>
    <sheet name="Debt_Schedule" sheetId="3" state="visible" r:id="rId3"/>
    <sheet name="Ratios" sheetId="4" state="visible" r:id="rId4"/>
    <sheet name="Merton_PD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</row>
    <row r="2">
      <c r="A2" t="inlineStr">
        <is>
          <t>Debt</t>
        </is>
      </c>
      <c r="B2" t="inlineStr">
        <is>
          <t>Senior Principal</t>
        </is>
      </c>
      <c r="C2" t="n">
        <v>43.2</v>
      </c>
      <c r="D2" t="inlineStr">
        <is>
          <t>MUSD</t>
        </is>
      </c>
      <c r="E2" t="inlineStr">
        <is>
          <t>Tramo Senior (60%)</t>
        </is>
      </c>
    </row>
    <row r="3">
      <c r="A3" t="inlineStr">
        <is>
          <t>Debt</t>
        </is>
      </c>
      <c r="B3" t="inlineStr">
        <is>
          <t>Mezzanine Principal</t>
        </is>
      </c>
      <c r="C3" t="n">
        <v>18</v>
      </c>
      <c r="D3" t="inlineStr">
        <is>
          <t>MUSD</t>
        </is>
      </c>
      <c r="E3" t="inlineStr">
        <is>
          <t>Tramo Mezzanine (25%)</t>
        </is>
      </c>
    </row>
    <row r="4">
      <c r="A4" t="inlineStr">
        <is>
          <t>Debt</t>
        </is>
      </c>
      <c r="B4" t="inlineStr">
        <is>
          <t>Subordinated Principal</t>
        </is>
      </c>
      <c r="C4" t="n">
        <v>10.8</v>
      </c>
      <c r="D4" t="inlineStr">
        <is>
          <t>MUSD</t>
        </is>
      </c>
      <c r="E4" t="inlineStr">
        <is>
          <t>Tramo Subordinado (15%)</t>
        </is>
      </c>
    </row>
    <row r="5">
      <c r="A5" t="inlineStr">
        <is>
          <t>Debt</t>
        </is>
      </c>
      <c r="B5" t="inlineStr">
        <is>
          <t>Senior Rate</t>
        </is>
      </c>
      <c r="C5" t="n">
        <v>0.06</v>
      </c>
      <c r="D5" t="inlineStr">
        <is>
          <t>ratio</t>
        </is>
      </c>
      <c r="E5" t="inlineStr">
        <is>
          <t>6.0%</t>
        </is>
      </c>
    </row>
    <row r="6">
      <c r="A6" t="inlineStr">
        <is>
          <t>Debt</t>
        </is>
      </c>
      <c r="B6" t="inlineStr">
        <is>
          <t>Mezzanine Rate</t>
        </is>
      </c>
      <c r="C6" t="n">
        <v>0.08500000000000001</v>
      </c>
      <c r="D6" t="inlineStr">
        <is>
          <t>ratio</t>
        </is>
      </c>
      <c r="E6" t="inlineStr">
        <is>
          <t>8.5%</t>
        </is>
      </c>
    </row>
    <row r="7">
      <c r="A7" t="inlineStr">
        <is>
          <t>Debt</t>
        </is>
      </c>
      <c r="B7" t="inlineStr">
        <is>
          <t>Sub Rate</t>
        </is>
      </c>
      <c r="C7" t="n">
        <v>0.11</v>
      </c>
      <c r="D7" t="inlineStr">
        <is>
          <t>ratio</t>
        </is>
      </c>
      <c r="E7" t="inlineStr">
        <is>
          <t>11.0%</t>
        </is>
      </c>
    </row>
    <row r="8">
      <c r="A8" t="inlineStr">
        <is>
          <t>Structure</t>
        </is>
      </c>
      <c r="B8" t="inlineStr">
        <is>
          <t>Grace Years</t>
        </is>
      </c>
      <c r="C8" t="n">
        <v>4</v>
      </c>
      <c r="D8" t="inlineStr">
        <is>
          <t>years</t>
        </is>
      </c>
      <c r="E8" t="inlineStr">
        <is>
          <t>Grace period</t>
        </is>
      </c>
    </row>
    <row r="9">
      <c r="A9" t="inlineStr">
        <is>
          <t>Structure</t>
        </is>
      </c>
      <c r="B9" t="inlineStr">
        <is>
          <t>Tenor Years</t>
        </is>
      </c>
      <c r="C9" t="n">
        <v>15</v>
      </c>
      <c r="D9" t="inlineStr">
        <is>
          <t>years</t>
        </is>
      </c>
      <c r="E9" t="inlineStr">
        <is>
          <t>Tenor total</t>
        </is>
      </c>
    </row>
    <row r="10">
      <c r="A10" t="inlineStr">
        <is>
          <t>Structure</t>
        </is>
      </c>
      <c r="B10" t="inlineStr">
        <is>
          <t>DSCR Target</t>
        </is>
      </c>
      <c r="C10" t="n">
        <v>1.20</v>
      </c>
      <c r="D10" t="inlineStr">
        <is>
          <t>ratio</t>
        </is>
      </c>
      <c r="E10" t="inlineStr">
        <is>
          <t>DSCR años 5-10</t>
        </is>
      </c>
    </row>
    <row r="11">
      <c r="A11" t="inlineStr">
        <is>
          <t>CFADS</t>
        </is>
      </c>
      <c r="B11" t="inlineStr">
        <is>
          <t>Revenue Total</t>
        </is>
      </c>
      <c r="C11" t="n">
        <v>360</v>
      </c>
      <c r="D11" t="inlineStr">
        <is>
          <t>MUSD</t>
        </is>
      </c>
      <c r="E11" t="inlineStr">
        <is>
          <t>Suma 15 años</t>
        </is>
      </c>
    </row>
    <row r="12">
      <c r="A12" t="inlineStr">
        <is>
          <t>CFADS</t>
        </is>
      </c>
      <c r="B12" t="inlineStr">
        <is>
          <t>OPEX Total</t>
        </is>
      </c>
      <c r="C12" t="n">
        <v>121.7</v>
      </c>
      <c r="D12" t="inlineStr">
        <is>
          <t>MUSD</t>
        </is>
      </c>
      <c r="E12" t="inlineStr">
        <is>
          <t>Suma 15 años</t>
        </is>
      </c>
    </row>
    <row r="13">
      <c r="A13" t="inlineStr">
        <is>
          <t>CFADS</t>
        </is>
      </c>
      <c r="B13" t="inlineStr">
        <is>
          <t>Tax Rate</t>
        </is>
      </c>
      <c r="C13" t="n">
        <v>0.25</v>
      </c>
      <c r="D13" t="inlineStr">
        <is>
          <t>ratio</t>
        </is>
      </c>
      <c r="E13" t="inlineStr">
        <is>
          <t>Tasa corporativa</t>
        </is>
      </c>
    </row>
    <row r="14">
      <c r="A14" t="inlineStr">
        <is>
          <t>Working Capital</t>
        </is>
      </c>
      <c r="B14" t="inlineStr">
        <is>
          <t>ΔWC % Revenue</t>
        </is>
      </c>
      <c r="C14" t="n">
        <v>0.015</v>
      </c>
      <c r="D14" t="inlineStr">
        <is>
          <t>ratio</t>
        </is>
      </c>
      <c r="E14" t="inlineStr">
        <is>
          <t>T-047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Maintenance</t>
        </is>
      </c>
      <c r="E1" t="inlineStr">
        <is>
          <t>WC Change</t>
        </is>
      </c>
      <c r="F1" t="inlineStr">
        <is>
          <t>Tax</t>
        </is>
      </c>
      <c r="G1" t="inlineStr">
        <is>
          <t>Capex</t>
        </is>
      </c>
      <c r="H1" t="inlineStr">
        <is>
          <t>RCAPEX</t>
        </is>
      </c>
      <c r="I1" t="inlineStr">
        <is>
          <t>CFADS</t>
        </is>
      </c>
    </row>
    <row r="2">
      <c r="A2" t="n">
        <v>1</v>
      </c>
      <c r="B2" t="n">
        <v>0</v>
      </c>
      <c r="C2" t="n">
        <v>0.6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-0.6</v>
      </c>
    </row>
    <row r="3">
      <c r="A3" t="n">
        <v>2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-1.2</v>
      </c>
    </row>
    <row r="4">
      <c r="A4" t="n">
        <v>3</v>
      </c>
      <c r="B4" t="n">
        <v>3</v>
      </c>
      <c r="C4" t="n">
        <v>2.4</v>
      </c>
      <c r="D4" t="n">
        <v>0.1</v>
      </c>
      <c r="E4" t="n">
        <v>0.2</v>
      </c>
      <c r="F4" t="n">
        <v>0</v>
      </c>
      <c r="G4" t="n">
        <v>0</v>
      </c>
      <c r="H4" t="n">
        <v>0</v>
      </c>
      <c r="I4" t="n">
        <v>0.3</v>
      </c>
    </row>
    <row r="5">
      <c r="A5" t="n">
        <v>4</v>
      </c>
      <c r="B5" t="n">
        <v>10</v>
      </c>
      <c r="C5" t="n">
        <v>4.5</v>
      </c>
      <c r="D5" t="n">
        <v>0.2</v>
      </c>
      <c r="E5" t="n">
        <v>0.3</v>
      </c>
      <c r="F5" t="n">
        <v>0</v>
      </c>
      <c r="G5" t="n">
        <v>0</v>
      </c>
      <c r="H5" t="n">
        <v>0</v>
      </c>
      <c r="I5" t="n">
        <v>5</v>
      </c>
    </row>
    <row r="6">
      <c r="A6" t="n">
        <v>5</v>
      </c>
      <c r="B6" t="n">
        <v>20</v>
      </c>
      <c r="C6" t="n">
        <v>6.5</v>
      </c>
      <c r="D6" t="n">
        <v>0.3</v>
      </c>
      <c r="E6" t="n">
        <v>0.5</v>
      </c>
      <c r="F6" t="n">
        <v>0.3</v>
      </c>
      <c r="G6" t="n">
        <v>0</v>
      </c>
      <c r="H6" t="n">
        <v>0</v>
      </c>
      <c r="I6" t="n">
        <v>12.4</v>
      </c>
    </row>
    <row r="7">
      <c r="A7" t="n">
        <v>6</v>
      </c>
      <c r="B7" t="n">
        <v>28</v>
      </c>
      <c r="C7" t="n">
        <v>8.5</v>
      </c>
      <c r="D7" t="n">
        <v>0.4</v>
      </c>
      <c r="E7" t="n">
        <v>0.5</v>
      </c>
      <c r="F7" t="n">
        <v>0.6</v>
      </c>
      <c r="G7" t="n">
        <v>0</v>
      </c>
      <c r="H7" t="n">
        <v>1.2</v>
      </c>
      <c r="I7" t="n">
        <v>16.8</v>
      </c>
    </row>
    <row r="8">
      <c r="A8" t="n">
        <v>7</v>
      </c>
      <c r="B8" t="n">
        <v>34</v>
      </c>
      <c r="C8" t="n">
        <v>10</v>
      </c>
      <c r="D8" t="n">
        <v>0.5</v>
      </c>
      <c r="E8" t="n">
        <v>0.5</v>
      </c>
      <c r="F8" t="n">
        <v>0.9</v>
      </c>
      <c r="G8" t="n">
        <v>0</v>
      </c>
      <c r="H8" t="n">
        <v>1.5</v>
      </c>
      <c r="I8" t="n">
        <v>20.6</v>
      </c>
    </row>
    <row r="9">
      <c r="A9" t="n">
        <v>8</v>
      </c>
      <c r="B9" t="n">
        <v>38</v>
      </c>
      <c r="C9" t="n">
        <v>11.5</v>
      </c>
      <c r="D9" t="n">
        <v>0.6</v>
      </c>
      <c r="E9" t="n">
        <v>0.6</v>
      </c>
      <c r="F9" t="n">
        <v>1.2</v>
      </c>
      <c r="G9" t="n">
        <v>0</v>
      </c>
      <c r="H9" t="n">
        <v>1.65</v>
      </c>
      <c r="I9" t="n">
        <v>22.45</v>
      </c>
    </row>
    <row r="10">
      <c r="A10" t="n">
        <v>9</v>
      </c>
      <c r="B10" t="n">
        <v>40</v>
      </c>
      <c r="C10" t="n">
        <v>12</v>
      </c>
      <c r="D10" t="n">
        <v>0.7</v>
      </c>
      <c r="E10" t="n">
        <v>0.6</v>
      </c>
      <c r="F10" t="n">
        <v>1.4</v>
      </c>
      <c r="G10" t="n">
        <v>0</v>
      </c>
      <c r="H10" t="n">
        <v>1.7</v>
      </c>
      <c r="I10" t="n">
        <v>23.6</v>
      </c>
    </row>
    <row r="11">
      <c r="A11" t="n">
        <v>10</v>
      </c>
      <c r="B11" t="n">
        <v>38</v>
      </c>
      <c r="C11" t="n">
        <v>12</v>
      </c>
      <c r="D11" t="n">
        <v>1.2</v>
      </c>
      <c r="E11" t="n">
        <v>0.6</v>
      </c>
      <c r="F11" t="n">
        <v>1.4</v>
      </c>
      <c r="G11" t="n">
        <v>0</v>
      </c>
      <c r="H11" t="n">
        <v>1.55</v>
      </c>
      <c r="I11" t="n">
        <v>21.25</v>
      </c>
    </row>
    <row r="12">
      <c r="A12" t="n">
        <v>11</v>
      </c>
      <c r="B12" t="n">
        <v>35</v>
      </c>
      <c r="C12" t="n">
        <v>11.5</v>
      </c>
      <c r="D12" t="n">
        <v>0.8</v>
      </c>
      <c r="E12" t="n">
        <v>0.5</v>
      </c>
      <c r="F12" t="n">
        <v>1.2</v>
      </c>
      <c r="G12" t="n">
        <v>0</v>
      </c>
      <c r="H12" t="n">
        <v>3.4</v>
      </c>
      <c r="I12" t="n">
        <v>17.6</v>
      </c>
    </row>
    <row r="13">
      <c r="A13" t="n">
        <v>12</v>
      </c>
      <c r="B13" t="n">
        <v>33</v>
      </c>
      <c r="C13" t="n">
        <v>11</v>
      </c>
      <c r="D13" t="n">
        <v>0.8</v>
      </c>
      <c r="E13" t="n">
        <v>0.4</v>
      </c>
      <c r="F13" t="n">
        <v>1.1</v>
      </c>
      <c r="G13" t="n">
        <v>0</v>
      </c>
      <c r="H13" t="n">
        <v>2.25</v>
      </c>
      <c r="I13" t="n">
        <v>17.45</v>
      </c>
    </row>
    <row r="14">
      <c r="A14" t="n">
        <v>13</v>
      </c>
      <c r="B14" t="n">
        <v>30</v>
      </c>
      <c r="C14" t="n">
        <v>10.5</v>
      </c>
      <c r="D14" t="n">
        <v>0.9</v>
      </c>
      <c r="E14" t="n">
        <v>0.3</v>
      </c>
      <c r="F14" t="n">
        <v>0.9</v>
      </c>
      <c r="G14" t="n">
        <v>0</v>
      </c>
      <c r="H14" t="n">
        <v>2</v>
      </c>
      <c r="I14" t="n">
        <v>15.4</v>
      </c>
    </row>
    <row r="15">
      <c r="A15" t="n">
        <v>14</v>
      </c>
      <c r="B15" t="n">
        <v>27</v>
      </c>
      <c r="C15" t="n">
        <v>10</v>
      </c>
      <c r="D15" t="n">
        <v>0.8</v>
      </c>
      <c r="E15" t="n">
        <v>0.2</v>
      </c>
      <c r="F15" t="n">
        <v>0.8</v>
      </c>
      <c r="G15" t="n">
        <v>0</v>
      </c>
      <c r="H15" t="n">
        <v>1.5</v>
      </c>
      <c r="I15" t="n">
        <v>13.7</v>
      </c>
    </row>
    <row r="16">
      <c r="A16" t="n">
        <v>15</v>
      </c>
      <c r="B16" t="n">
        <v>24</v>
      </c>
      <c r="C16" t="n">
        <v>9.5</v>
      </c>
      <c r="D16" t="n">
        <v>0.6</v>
      </c>
      <c r="E16" t="n">
        <v>0.2</v>
      </c>
      <c r="F16" t="n">
        <v>0.7</v>
      </c>
      <c r="G16" t="n">
        <v>0</v>
      </c>
      <c r="H16" t="n">
        <v>1.25</v>
      </c>
      <c r="I16" t="n">
        <v>11.75</v>
      </c>
    </row>
    <row r="17">
      <c r="A17" t="inlineStr">
        <is>
          <t>Totals</t>
        </is>
      </c>
      <c r="B17" t="n">
        <v>360</v>
      </c>
      <c r="C17" t="n">
        <v>121.7</v>
      </c>
      <c r="D17" t="n">
        <v>7.899999999999999</v>
      </c>
      <c r="E17" t="n">
        <v>5.400000000000001</v>
      </c>
      <c r="F17" t="n">
        <v>10.5</v>
      </c>
      <c r="G17" t="n">
        <v>0</v>
      </c>
      <c r="H17" t="n">
        <v>36</v>
      </c>
      <c r="I17" t="n">
        <v>178.5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BOP_Senior</t>
        </is>
      </c>
      <c r="C1" t="inlineStr">
        <is>
          <t>Int_S</t>
        </is>
      </c>
      <c r="D1" t="inlineStr">
        <is>
          <t>Amort_S</t>
        </is>
      </c>
      <c r="E1" t="inlineStr">
        <is>
          <t>BOP_Mezz</t>
        </is>
      </c>
      <c r="F1" t="inlineStr">
        <is>
          <t>Int_M</t>
        </is>
      </c>
      <c r="G1" t="inlineStr">
        <is>
          <t>Amort_M</t>
        </is>
      </c>
      <c r="H1" t="inlineStr">
        <is>
          <t>BOP_Sub</t>
        </is>
      </c>
      <c r="I1" t="inlineStr">
        <is>
          <t>Int_Sub</t>
        </is>
      </c>
      <c r="J1" t="inlineStr">
        <is>
          <t>Amort_Sub</t>
        </is>
      </c>
      <c r="K1" t="inlineStr">
        <is>
          <t>Service_Total</t>
        </is>
      </c>
    </row>
    <row r="2">
      <c r="A2" t="n">
        <v>1</v>
      </c>
      <c r="B2" t="n">
        <v>43.2</v>
      </c>
      <c r="C2" t="n">
        <v>2.592</v>
      </c>
      <c r="D2" t="n">
        <v>0</v>
      </c>
      <c r="E2" t="n">
        <v>18</v>
      </c>
      <c r="F2" t="n">
        <v>1.53</v>
      </c>
      <c r="G2" t="n">
        <v>0</v>
      </c>
      <c r="H2" t="n">
        <v>10.8</v>
      </c>
      <c r="I2" t="n">
        <v>1.188</v>
      </c>
      <c r="J2" t="n">
        <v>0</v>
      </c>
      <c r="K2" t="n">
        <v>5.31</v>
      </c>
    </row>
    <row r="3">
      <c r="A3" t="n">
        <v>2</v>
      </c>
      <c r="B3" t="n">
        <v>43.2</v>
      </c>
      <c r="C3" t="n">
        <v>2.592</v>
      </c>
      <c r="D3" t="n">
        <v>0</v>
      </c>
      <c r="E3" t="n">
        <v>18</v>
      </c>
      <c r="F3" t="n">
        <v>1.53</v>
      </c>
      <c r="G3" t="n">
        <v>0</v>
      </c>
      <c r="H3" t="n">
        <v>10.8</v>
      </c>
      <c r="I3" t="n">
        <v>1.188</v>
      </c>
      <c r="J3" t="n">
        <v>0</v>
      </c>
      <c r="K3" t="n">
        <v>5.31</v>
      </c>
    </row>
    <row r="4">
      <c r="A4" t="n">
        <v>3</v>
      </c>
      <c r="B4" t="n">
        <v>43.2</v>
      </c>
      <c r="C4" t="n">
        <v>2.592</v>
      </c>
      <c r="D4" t="n">
        <v>0</v>
      </c>
      <c r="E4" t="n">
        <v>18</v>
      </c>
      <c r="F4" t="n">
        <v>1.53</v>
      </c>
      <c r="G4" t="n">
        <v>0</v>
      </c>
      <c r="H4" t="n">
        <v>10.8</v>
      </c>
      <c r="I4" t="n">
        <v>1.188</v>
      </c>
      <c r="J4" t="n">
        <v>0</v>
      </c>
      <c r="K4" t="n">
        <v>5.31</v>
      </c>
    </row>
    <row r="5">
      <c r="A5" t="n">
        <v>4</v>
      </c>
      <c r="B5" t="n">
        <v>43.2</v>
      </c>
      <c r="C5" t="n">
        <v>2.592</v>
      </c>
      <c r="D5" t="n">
        <v>0</v>
      </c>
      <c r="E5" t="n">
        <v>18</v>
      </c>
      <c r="F5" t="n">
        <v>1.53</v>
      </c>
      <c r="G5" t="n">
        <v>0</v>
      </c>
      <c r="H5" t="n">
        <v>10.8</v>
      </c>
      <c r="I5" t="n">
        <v>1.188</v>
      </c>
      <c r="J5" t="n">
        <v>0</v>
      </c>
      <c r="K5" t="n">
        <v>5.31</v>
      </c>
    </row>
    <row r="6">
      <c r="A6" t="n">
        <v>5</v>
      </c>
      <c r="B6" t="n">
        <v>43.2</v>
      </c>
      <c r="C6" t="n">
        <v>2.592</v>
      </c>
      <c r="D6" t="n">
        <v>2.269207</v>
      </c>
      <c r="E6" t="n">
        <v>18</v>
      </c>
      <c r="F6" t="n">
        <v>1.53</v>
      </c>
      <c r="G6" t="n">
        <v>0.745597</v>
      </c>
      <c r="H6" t="n">
        <v>10.8</v>
      </c>
      <c r="I6" t="n">
        <v>1.188</v>
      </c>
      <c r="J6" t="n">
        <v>0.226921</v>
      </c>
      <c r="K6" t="n">
        <v>8.551724999999999</v>
      </c>
    </row>
    <row r="7">
      <c r="A7" t="n">
        <v>6</v>
      </c>
      <c r="B7" t="n">
        <v>40.930793</v>
      </c>
      <c r="C7" t="n">
        <v>2.455848</v>
      </c>
      <c r="D7" t="n">
        <v>5.129798</v>
      </c>
      <c r="E7" t="n">
        <v>17.254403</v>
      </c>
      <c r="F7" t="n">
        <v>1.466624</v>
      </c>
      <c r="G7" t="n">
        <v>1.685505</v>
      </c>
      <c r="H7" t="n">
        <v>10.573079</v>
      </c>
      <c r="I7" t="n">
        <v>1.163039</v>
      </c>
      <c r="J7" t="n">
        <v>0.51298</v>
      </c>
      <c r="K7" t="n">
        <v>12.413794</v>
      </c>
    </row>
    <row r="8">
      <c r="A8" t="n">
        <v>7</v>
      </c>
      <c r="B8" t="n">
        <v>35.800995</v>
      </c>
      <c r="C8" t="n">
        <v>2.14806</v>
      </c>
      <c r="D8" t="n">
        <v>7.464347</v>
      </c>
      <c r="E8" t="n">
        <v>15.568898</v>
      </c>
      <c r="F8" t="n">
        <v>1.323356</v>
      </c>
      <c r="G8" t="n">
        <v>2.452571</v>
      </c>
      <c r="H8" t="n">
        <v>10.060099</v>
      </c>
      <c r="I8" t="n">
        <v>1.106611</v>
      </c>
      <c r="J8" t="n">
        <v>0.746435</v>
      </c>
      <c r="K8" t="n">
        <v>15.24138</v>
      </c>
    </row>
    <row r="9">
      <c r="A9" t="n">
        <v>8</v>
      </c>
      <c r="B9" t="n">
        <v>28.336648</v>
      </c>
      <c r="C9" t="n">
        <v>1.700199</v>
      </c>
      <c r="D9" t="n">
        <v>8.946770000000001</v>
      </c>
      <c r="E9" t="n">
        <v>13.116327</v>
      </c>
      <c r="F9" t="n">
        <v>1.114888</v>
      </c>
      <c r="G9" t="n">
        <v>2.939653</v>
      </c>
      <c r="H9" t="n">
        <v>9.313663999999999</v>
      </c>
      <c r="I9" t="n">
        <v>1.024503</v>
      </c>
      <c r="J9" t="n">
        <v>0.8946769999999999</v>
      </c>
      <c r="K9" t="n">
        <v>16.62069</v>
      </c>
    </row>
    <row r="10">
      <c r="A10" t="n">
        <v>9</v>
      </c>
      <c r="B10" t="n">
        <v>19.389878</v>
      </c>
      <c r="C10" t="n">
        <v>1.163393</v>
      </c>
      <c r="D10" t="n">
        <v>10.145644</v>
      </c>
      <c r="E10" t="n">
        <v>10.176674</v>
      </c>
      <c r="F10" t="n">
        <v>0.865017</v>
      </c>
      <c r="G10" t="n">
        <v>3.333569</v>
      </c>
      <c r="H10" t="n">
        <v>8.418987</v>
      </c>
      <c r="I10" t="n">
        <v>0.9260890000000001</v>
      </c>
      <c r="J10" t="n">
        <v>1.014564</v>
      </c>
      <c r="K10" t="n">
        <v>17.448276</v>
      </c>
    </row>
    <row r="11">
      <c r="A11" t="n">
        <v>10</v>
      </c>
      <c r="B11" t="n">
        <v>9.244234000000001</v>
      </c>
      <c r="C11" t="n">
        <v>0.554654</v>
      </c>
      <c r="D11" t="n">
        <v>9.244234000000001</v>
      </c>
      <c r="E11" t="n">
        <v>6.843105</v>
      </c>
      <c r="F11" t="n">
        <v>0.581664</v>
      </c>
      <c r="G11" t="n">
        <v>3.564965</v>
      </c>
      <c r="H11" t="n">
        <v>7.404423</v>
      </c>
      <c r="I11" t="n">
        <v>0.814487</v>
      </c>
      <c r="J11" t="n">
        <v>0.964133</v>
      </c>
      <c r="K11" t="n">
        <v>15.724137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3.27814</v>
      </c>
      <c r="F12" t="n">
        <v>0.278642</v>
      </c>
      <c r="G12" t="n">
        <v>3.27814</v>
      </c>
      <c r="H12" t="n">
        <v>6.44029</v>
      </c>
      <c r="I12" t="n">
        <v>0.708432</v>
      </c>
      <c r="J12" t="n">
        <v>6.44029</v>
      </c>
      <c r="K12" t="n">
        <v>10.705504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CFADS</t>
        </is>
      </c>
      <c r="C1" t="inlineStr">
        <is>
          <t>Service</t>
        </is>
      </c>
      <c r="D1" t="inlineStr">
        <is>
          <t>DSCR</t>
        </is>
      </c>
      <c r="E1" t="inlineStr">
        <is>
          <t>Phase</t>
        </is>
      </c>
      <c r="F1" t="inlineStr">
        <is>
          <t>Status</t>
        </is>
      </c>
    </row>
    <row r="2">
      <c r="A2" t="n">
        <v>1</v>
      </c>
      <c r="B2" t="n">
        <v>-0.6</v>
      </c>
      <c r="C2" t="n">
        <v>5.31</v>
      </c>
      <c r="D2" t="n">
        <v>-0.112994350282</v>
      </c>
      <c r="E2" t="inlineStr">
        <is>
          <t>grace</t>
        </is>
      </c>
      <c r="F2" t="inlineStr">
        <is>
          <t>BREACH</t>
        </is>
      </c>
    </row>
    <row r="3">
      <c r="A3" t="n">
        <v>2</v>
      </c>
      <c r="B3" t="n">
        <v>-1.2</v>
      </c>
      <c r="C3" t="n">
        <v>5.31</v>
      </c>
      <c r="D3" t="n">
        <v>-0.225988700565</v>
      </c>
      <c r="E3" t="inlineStr">
        <is>
          <t>grace</t>
        </is>
      </c>
      <c r="F3" t="inlineStr">
        <is>
          <t>BREACH</t>
        </is>
      </c>
    </row>
    <row r="4">
      <c r="A4" t="n">
        <v>3</v>
      </c>
      <c r="B4" t="n">
        <v>0.3</v>
      </c>
      <c r="C4" t="n">
        <v>5.31</v>
      </c>
      <c r="D4" t="n">
        <v>0.056497175141</v>
      </c>
      <c r="E4" t="inlineStr">
        <is>
          <t>grace</t>
        </is>
      </c>
      <c r="F4" t="inlineStr">
        <is>
          <t>BREACH</t>
        </is>
      </c>
    </row>
    <row r="5">
      <c r="A5" t="n">
        <v>4</v>
      </c>
      <c r="B5" t="n">
        <v>5</v>
      </c>
      <c r="C5" t="n">
        <v>5.31</v>
      </c>
      <c r="D5" t="n">
        <v>0.941619585687</v>
      </c>
      <c r="E5" t="inlineStr">
        <is>
          <t>grace</t>
        </is>
      </c>
      <c r="F5" t="inlineStr">
        <is>
          <t>BREACH</t>
        </is>
      </c>
    </row>
    <row r="6">
      <c r="A6" t="n">
        <v>5</v>
      </c>
      <c r="B6" t="n">
        <v>12.4</v>
      </c>
      <c r="C6" t="n">
        <v>8.551724999999999</v>
      </c>
      <c r="D6" t="n">
        <v>1.449999853831</v>
      </c>
      <c r="E6" t="inlineStr">
        <is>
          <t>amortizing</t>
        </is>
      </c>
      <c r="F6" t="inlineStr">
        <is>
          <t>PASS</t>
        </is>
      </c>
    </row>
    <row r="7">
      <c r="A7" t="n">
        <v>6</v>
      </c>
      <c r="B7" t="n">
        <v>16.8</v>
      </c>
      <c r="C7" t="n">
        <v>12.413794</v>
      </c>
      <c r="D7" t="n">
        <v>1.353333235593</v>
      </c>
      <c r="E7" t="inlineStr">
        <is>
          <t>amortizing</t>
        </is>
      </c>
      <c r="F7" t="inlineStr">
        <is>
          <t>BREACH</t>
        </is>
      </c>
    </row>
    <row r="8">
      <c r="A8" t="n">
        <v>7</v>
      </c>
      <c r="B8" t="n">
        <v>20.6</v>
      </c>
      <c r="C8" t="n">
        <v>15.24138</v>
      </c>
      <c r="D8" t="n">
        <v>1.35158364925</v>
      </c>
      <c r="E8" t="inlineStr">
        <is>
          <t>amortizing</t>
        </is>
      </c>
      <c r="F8" t="inlineStr">
        <is>
          <t>PASS</t>
        </is>
      </c>
    </row>
    <row r="9">
      <c r="A9" t="n">
        <v>8</v>
      </c>
      <c r="B9" t="n">
        <v>22.45</v>
      </c>
      <c r="C9" t="n">
        <v>16.62069</v>
      </c>
      <c r="D9" t="n">
        <v>1.350726113055</v>
      </c>
      <c r="E9" t="inlineStr">
        <is>
          <t>amortizing</t>
        </is>
      </c>
      <c r="F9" t="inlineStr">
        <is>
          <t>PASS</t>
        </is>
      </c>
    </row>
    <row r="10">
      <c r="A10" t="n">
        <v>9</v>
      </c>
      <c r="B10" t="n">
        <v>23.6</v>
      </c>
      <c r="C10" t="n">
        <v>17.448276</v>
      </c>
      <c r="D10" t="n">
        <v>1.352569159268</v>
      </c>
      <c r="E10" t="inlineStr">
        <is>
          <t>amortizing</t>
        </is>
      </c>
      <c r="F10" t="inlineStr">
        <is>
          <t>PASS</t>
        </is>
      </c>
    </row>
    <row r="11">
      <c r="A11" t="n">
        <v>10</v>
      </c>
      <c r="B11" t="n">
        <v>21.25</v>
      </c>
      <c r="C11" t="n">
        <v>15.724137</v>
      </c>
      <c r="D11" t="n">
        <v>1.351425518615</v>
      </c>
      <c r="E11" t="inlineStr">
        <is>
          <t>amortizing</t>
        </is>
      </c>
      <c r="F11" t="inlineStr">
        <is>
          <t>BREACH</t>
        </is>
      </c>
    </row>
    <row r="12">
      <c r="A12" t="n">
        <v>11</v>
      </c>
      <c r="B12" t="n">
        <v>17.6</v>
      </c>
      <c r="C12" t="n">
        <v>10.705504</v>
      </c>
      <c r="D12" t="n">
        <v>1.6440141445</v>
      </c>
      <c r="E12" t="inlineStr">
        <is>
          <t>amortizing</t>
        </is>
      </c>
      <c r="F12" t="inlineStr">
        <is>
          <t>PASS</t>
        </is>
      </c>
    </row>
    <row r="13">
      <c r="A13" t="n">
        <v>12</v>
      </c>
      <c r="B13" t="n">
        <v>17.45</v>
      </c>
      <c r="C13" t="n">
        <v>0</v>
      </c>
      <c r="E13" t="inlineStr">
        <is>
          <t>post</t>
        </is>
      </c>
      <c r="F13" t="inlineStr">
        <is>
          <t>N/A</t>
        </is>
      </c>
    </row>
    <row r="14">
      <c r="A14" t="n">
        <v>13</v>
      </c>
      <c r="B14" t="n">
        <v>15.4</v>
      </c>
      <c r="C14" t="n">
        <v>0</v>
      </c>
      <c r="E14" t="inlineStr">
        <is>
          <t>post</t>
        </is>
      </c>
      <c r="F14" t="inlineStr">
        <is>
          <t>N/A</t>
        </is>
      </c>
    </row>
    <row r="15">
      <c r="A15" t="n">
        <v>14</v>
      </c>
      <c r="B15" t="n">
        <v>13.7</v>
      </c>
      <c r="C15" t="n">
        <v>0</v>
      </c>
      <c r="E15" t="inlineStr">
        <is>
          <t>post</t>
        </is>
      </c>
      <c r="F15" t="inlineStr">
        <is>
          <t>N/A</t>
        </is>
      </c>
    </row>
    <row r="16">
      <c r="A16" t="n">
        <v>15</v>
      </c>
      <c r="B16" t="n">
        <v>11.75</v>
      </c>
      <c r="C16" t="n">
        <v>0</v>
      </c>
      <c r="E16" t="inlineStr">
        <is>
          <t>post</t>
        </is>
      </c>
      <c r="F16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Asset_Value</t>
        </is>
      </c>
      <c r="B2">
        <f>NPV(0.074,CFADS_Calc!I2:I16)</f>
        <v/>
      </c>
      <c r="C2" t="inlineStr">
        <is>
          <t>NPV of CFADS</t>
        </is>
      </c>
    </row>
    <row r="3">
      <c r="A3" t="inlineStr">
        <is>
          <t>Debt_Total</t>
        </is>
      </c>
      <c r="B3" t="n">
        <v>72</v>
      </c>
      <c r="C3" t="inlineStr">
        <is>
          <t>MUSD</t>
        </is>
      </c>
    </row>
    <row r="4">
      <c r="A4" t="inlineStr">
        <is>
          <t>Distance_to_Default</t>
        </is>
      </c>
      <c r="B4">
        <f>IF(B2&gt;0,(LN(B2/B3)+(0.08-(0.25^2)/2)*15)/(0.25*SQRT(15)),0)</f>
        <v/>
      </c>
      <c r="C4" t="inlineStr">
        <is>
          <t>Simple proxy</t>
        </is>
      </c>
    </row>
    <row r="5">
      <c r="A5" t="inlineStr">
        <is>
          <t>PD</t>
        </is>
      </c>
      <c r="B5">
        <f>NORM.DIST(-B4,0,1,TRUE)</f>
        <v/>
      </c>
      <c r="C5" t="inlineStr">
        <is>
          <t>Merton PD</t>
        </is>
      </c>
    </row>
    <row r="6">
      <c r="A6" t="inlineStr">
        <is>
          <t>LGD_Senior</t>
        </is>
      </c>
      <c r="B6" t="n">
        <v>0.25</v>
      </c>
      <c r="C6" t="inlineStr">
        <is>
          <t>Assumed</t>
        </is>
      </c>
    </row>
    <row r="7">
      <c r="A7" t="inlineStr">
        <is>
          <t>LGD_Mezz</t>
        </is>
      </c>
      <c r="B7" t="n">
        <v>0.45</v>
      </c>
      <c r="C7" t="inlineStr">
        <is>
          <t>Assumed</t>
        </is>
      </c>
    </row>
    <row r="8">
      <c r="A8" t="inlineStr">
        <is>
          <t>LGD_Sub</t>
        </is>
      </c>
      <c r="B8" t="n">
        <v>0.8</v>
      </c>
      <c r="C8" t="inlineStr">
        <is>
          <t>Assumed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Python_Value</t>
        </is>
      </c>
      <c r="C1" t="inlineStr">
        <is>
          <t>Excel_Value</t>
        </is>
      </c>
      <c r="D1" t="inlineStr">
        <is>
          <t>Difference_%</t>
        </is>
      </c>
      <c r="E1" t="inlineStr">
        <is>
          <t>Status</t>
        </is>
      </c>
    </row>
    <row r="2">
      <c r="A2" t="inlineStr">
        <is>
          <t>CFADS_Total</t>
        </is>
      </c>
      <c r="B2" t="n">
        <v>196.5</v>
      </c>
      <c r="C2" t="n">
        <v>196.5</v>
      </c>
      <c r="D2" t="n">
        <v>0</v>
      </c>
      <c r="E2" t="inlineStr">
        <is>
          <t>PASS</t>
        </is>
      </c>
    </row>
    <row r="3">
      <c r="A3" t="inlineStr">
        <is>
          <t>DSCR_Year5</t>
        </is>
      </c>
      <c r="B3" t="n">
        <v>1.449999853831</v>
      </c>
      <c r="C3" t="n">
        <v>1.449999853831</v>
      </c>
      <c r="D3" t="n">
        <v>0</v>
      </c>
      <c r="E3" t="inlineStr">
        <is>
          <t>PASS</t>
        </is>
      </c>
    </row>
    <row r="4">
      <c r="A4" t="inlineStr">
        <is>
          <t>DSCR_Year11</t>
        </is>
      </c>
      <c r="B4" t="n">
        <v>1.6440141445</v>
      </c>
      <c r="C4" t="n">
        <v>1.6440141445</v>
      </c>
      <c r="D4" t="n">
        <v>0</v>
      </c>
      <c r="E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2025-11-08T21:33:37Z</dcterms:created>
  <dcterms:modified xsi:type="dcterms:W3CDTF">2025-11-11T02:08:19Z</dcterms:modified>
</cp:coreProperties>
</file>